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910" codeName="{8C4F1C90-05EB-6A55-5F09-09C24B55AC0B}"/>
  <workbookPr showInkAnnotation="0" codeName="ThisWorkbook" autoCompressPictures="0"/>
  <bookViews>
    <workbookView xWindow="2920" yWindow="2540" windowWidth="19440" windowHeight="11760" tabRatio="949" activeTab="4"/>
  </bookViews>
  <sheets>
    <sheet name="Student 1" sheetId="83" r:id="rId1"/>
    <sheet name="Student (2)" sheetId="90" r:id="rId2"/>
    <sheet name="Student  (3)" sheetId="91" r:id="rId3"/>
    <sheet name="Student  (4)" sheetId="92" r:id="rId4"/>
    <sheet name="Ronald Thomas" sheetId="93" r:id="rId5"/>
    <sheet name="Tables" sheetId="75" r:id="rId6"/>
  </sheets>
  <definedNames>
    <definedName name="_xlnm._FilterDatabase" localSheetId="5" hidden="1">Tables!$G$79:$K$87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5" i="93" l="1"/>
  <c r="D45" i="93"/>
  <c r="E45" i="93"/>
  <c r="F45" i="93"/>
  <c r="G45" i="93"/>
  <c r="H45" i="93"/>
  <c r="I45" i="93"/>
  <c r="J45" i="93"/>
  <c r="K45" i="93"/>
  <c r="L45" i="93"/>
  <c r="M45" i="93"/>
  <c r="N45" i="93"/>
  <c r="O45" i="93"/>
  <c r="P45" i="93"/>
  <c r="Q45" i="93"/>
  <c r="R45" i="93"/>
  <c r="S45" i="93"/>
  <c r="T45" i="93"/>
  <c r="U45" i="93"/>
  <c r="V45" i="93"/>
  <c r="C50" i="93"/>
  <c r="D50" i="93"/>
  <c r="E50" i="93"/>
  <c r="F50" i="93"/>
  <c r="X86" i="93"/>
  <c r="Y86" i="93"/>
  <c r="Z86" i="93"/>
  <c r="AA86" i="93"/>
  <c r="AB86" i="93"/>
  <c r="AC86" i="93"/>
  <c r="AD86" i="93"/>
  <c r="AE86" i="93"/>
  <c r="AF86" i="93"/>
  <c r="AG86" i="93"/>
  <c r="AH86" i="93"/>
  <c r="AI86" i="93"/>
  <c r="AJ86" i="93"/>
  <c r="P102" i="93"/>
  <c r="O102" i="93"/>
  <c r="N102" i="93"/>
  <c r="M102" i="93"/>
  <c r="L102" i="93"/>
  <c r="K102" i="93"/>
  <c r="J102" i="93"/>
  <c r="I102" i="93"/>
  <c r="H102" i="93"/>
  <c r="G102" i="93"/>
  <c r="F102" i="93"/>
  <c r="E102" i="93"/>
  <c r="D102" i="93"/>
  <c r="C102" i="93"/>
  <c r="U95" i="93"/>
  <c r="T95" i="93"/>
  <c r="S95" i="93"/>
  <c r="R95" i="93"/>
  <c r="Q95" i="93"/>
  <c r="P95" i="93"/>
  <c r="O95" i="93"/>
  <c r="N95" i="93"/>
  <c r="M95" i="93"/>
  <c r="L95" i="93"/>
  <c r="K95" i="93"/>
  <c r="J95" i="93"/>
  <c r="I95" i="93"/>
  <c r="H95" i="93"/>
  <c r="G95" i="93"/>
  <c r="F95" i="93"/>
  <c r="E95" i="93"/>
  <c r="D95" i="93"/>
  <c r="C95" i="93"/>
  <c r="C38" i="93"/>
  <c r="D38" i="93"/>
  <c r="E38" i="93"/>
  <c r="F38" i="93"/>
  <c r="G38" i="93"/>
  <c r="H38" i="93"/>
  <c r="I38" i="93"/>
  <c r="J38" i="93"/>
  <c r="K38" i="93"/>
  <c r="L38" i="93"/>
  <c r="M38" i="93"/>
  <c r="N38" i="93"/>
  <c r="O38" i="93"/>
  <c r="P38" i="93"/>
  <c r="Q38" i="93"/>
  <c r="R38" i="93"/>
  <c r="S38" i="93"/>
  <c r="T38" i="93"/>
  <c r="U38" i="93"/>
  <c r="V38" i="93"/>
  <c r="C69" i="93"/>
  <c r="D69" i="93"/>
  <c r="E69" i="93"/>
  <c r="F69" i="93"/>
  <c r="G69" i="93"/>
  <c r="H69" i="93"/>
  <c r="I69" i="93"/>
  <c r="J69" i="93"/>
  <c r="K69" i="93"/>
  <c r="L69" i="93"/>
  <c r="M69" i="93"/>
  <c r="N69" i="93"/>
  <c r="O69" i="93"/>
  <c r="P69" i="93"/>
  <c r="Q69" i="93"/>
  <c r="R69" i="93"/>
  <c r="S69" i="93"/>
  <c r="T69" i="93"/>
  <c r="B12" i="93"/>
  <c r="R88" i="93"/>
  <c r="Q88" i="93"/>
  <c r="P88" i="93"/>
  <c r="O88" i="93"/>
  <c r="N88" i="93"/>
  <c r="M88" i="93"/>
  <c r="L88" i="93"/>
  <c r="K88" i="93"/>
  <c r="J88" i="93"/>
  <c r="I88" i="93"/>
  <c r="H88" i="93"/>
  <c r="G88" i="93"/>
  <c r="F88" i="93"/>
  <c r="E88" i="93"/>
  <c r="D88" i="93"/>
  <c r="C88" i="93"/>
  <c r="F81" i="93"/>
  <c r="E81" i="93"/>
  <c r="D81" i="93"/>
  <c r="C81" i="93"/>
  <c r="Y42" i="93"/>
  <c r="V76" i="93"/>
  <c r="U76" i="93"/>
  <c r="T76" i="93"/>
  <c r="S76" i="93"/>
  <c r="R76" i="93"/>
  <c r="Q76" i="93"/>
  <c r="P76" i="93"/>
  <c r="O76" i="93"/>
  <c r="N76" i="93"/>
  <c r="M76" i="93"/>
  <c r="L76" i="93"/>
  <c r="K76" i="93"/>
  <c r="Y41" i="93"/>
  <c r="J76" i="93"/>
  <c r="I76" i="93"/>
  <c r="H76" i="93"/>
  <c r="G76" i="93"/>
  <c r="F76" i="93"/>
  <c r="E76" i="93"/>
  <c r="D76" i="93"/>
  <c r="C76" i="93"/>
  <c r="Q62" i="93"/>
  <c r="P62" i="93"/>
  <c r="O62" i="93"/>
  <c r="N62" i="93"/>
  <c r="M62" i="93"/>
  <c r="L62" i="93"/>
  <c r="K62" i="93"/>
  <c r="J62" i="93"/>
  <c r="I62" i="93"/>
  <c r="H62" i="93"/>
  <c r="G62" i="93"/>
  <c r="F62" i="93"/>
  <c r="E62" i="93"/>
  <c r="D62" i="93"/>
  <c r="C62" i="93"/>
  <c r="V57" i="93"/>
  <c r="U57" i="93"/>
  <c r="T57" i="93"/>
  <c r="S57" i="93"/>
  <c r="R57" i="93"/>
  <c r="Q57" i="93"/>
  <c r="P57" i="93"/>
  <c r="O57" i="93"/>
  <c r="N57" i="93"/>
  <c r="M57" i="93"/>
  <c r="L57" i="93"/>
  <c r="K57" i="93"/>
  <c r="J57" i="93"/>
  <c r="I57" i="93"/>
  <c r="H57" i="93"/>
  <c r="G57" i="93"/>
  <c r="F57" i="93"/>
  <c r="E57" i="93"/>
  <c r="D57" i="93"/>
  <c r="C57" i="93"/>
  <c r="Y40" i="93"/>
  <c r="Z39" i="93"/>
  <c r="Z40" i="93"/>
  <c r="Z42" i="93"/>
  <c r="Z43" i="93"/>
  <c r="Y43" i="93"/>
  <c r="R25" i="93"/>
  <c r="M25" i="93"/>
  <c r="R24" i="93"/>
  <c r="M24" i="93"/>
  <c r="R23" i="93"/>
  <c r="M23" i="93"/>
  <c r="H18" i="93"/>
  <c r="C18" i="93"/>
  <c r="H17" i="93"/>
  <c r="C17" i="93"/>
  <c r="H16" i="93"/>
  <c r="C16" i="93"/>
  <c r="U15" i="93"/>
  <c r="P15" i="93"/>
  <c r="H15" i="93"/>
  <c r="C15" i="93"/>
  <c r="U14" i="93"/>
  <c r="P14" i="93"/>
  <c r="H14" i="93"/>
  <c r="C14" i="93"/>
  <c r="P102" i="92"/>
  <c r="O102" i="92"/>
  <c r="N102" i="92"/>
  <c r="M102" i="92"/>
  <c r="L102" i="92"/>
  <c r="K102" i="92"/>
  <c r="J102" i="92"/>
  <c r="I102" i="92"/>
  <c r="H102" i="92"/>
  <c r="G102" i="92"/>
  <c r="F102" i="92"/>
  <c r="E102" i="92"/>
  <c r="D102" i="92"/>
  <c r="C102" i="92"/>
  <c r="U95" i="92"/>
  <c r="T95" i="92"/>
  <c r="S95" i="92"/>
  <c r="R95" i="92"/>
  <c r="Q95" i="92"/>
  <c r="P95" i="92"/>
  <c r="O95" i="92"/>
  <c r="N95" i="92"/>
  <c r="M95" i="92"/>
  <c r="L95" i="92"/>
  <c r="K95" i="92"/>
  <c r="J95" i="92"/>
  <c r="I95" i="92"/>
  <c r="H95" i="92"/>
  <c r="G95" i="92"/>
  <c r="F95" i="92"/>
  <c r="E95" i="92"/>
  <c r="D95" i="92"/>
  <c r="C95" i="92"/>
  <c r="R88" i="92"/>
  <c r="Q88" i="92"/>
  <c r="P88" i="92"/>
  <c r="O88" i="92"/>
  <c r="N88" i="92"/>
  <c r="M88" i="92"/>
  <c r="L88" i="92"/>
  <c r="K88" i="92"/>
  <c r="J88" i="92"/>
  <c r="I88" i="92"/>
  <c r="H88" i="92"/>
  <c r="G88" i="92"/>
  <c r="F88" i="92"/>
  <c r="E88" i="92"/>
  <c r="D88" i="92"/>
  <c r="C88" i="92"/>
  <c r="F81" i="92"/>
  <c r="E81" i="92"/>
  <c r="D81" i="92"/>
  <c r="C81" i="92"/>
  <c r="Y42" i="92"/>
  <c r="V76" i="92"/>
  <c r="U76" i="92"/>
  <c r="T76" i="92"/>
  <c r="S76" i="92"/>
  <c r="R76" i="92"/>
  <c r="Q76" i="92"/>
  <c r="P76" i="92"/>
  <c r="O76" i="92"/>
  <c r="N76" i="92"/>
  <c r="M76" i="92"/>
  <c r="L76" i="92"/>
  <c r="K76" i="92"/>
  <c r="Y41" i="92"/>
  <c r="J76" i="92"/>
  <c r="I76" i="92"/>
  <c r="H76" i="92"/>
  <c r="G76" i="92"/>
  <c r="F76" i="92"/>
  <c r="E76" i="92"/>
  <c r="D76" i="92"/>
  <c r="C76" i="92"/>
  <c r="Z41" i="92"/>
  <c r="T69" i="92"/>
  <c r="S69" i="92"/>
  <c r="R69" i="92"/>
  <c r="Q69" i="92"/>
  <c r="P69" i="92"/>
  <c r="O69" i="92"/>
  <c r="N69" i="92"/>
  <c r="M69" i="92"/>
  <c r="L69" i="92"/>
  <c r="K69" i="92"/>
  <c r="J69" i="92"/>
  <c r="I69" i="92"/>
  <c r="H69" i="92"/>
  <c r="G69" i="92"/>
  <c r="F69" i="92"/>
  <c r="E69" i="92"/>
  <c r="D69" i="92"/>
  <c r="C69" i="92"/>
  <c r="Q62" i="92"/>
  <c r="P62" i="92"/>
  <c r="O62" i="92"/>
  <c r="N62" i="92"/>
  <c r="M62" i="92"/>
  <c r="L62" i="92"/>
  <c r="K62" i="92"/>
  <c r="J62" i="92"/>
  <c r="I62" i="92"/>
  <c r="H62" i="92"/>
  <c r="G62" i="92"/>
  <c r="F62" i="92"/>
  <c r="E62" i="92"/>
  <c r="D62" i="92"/>
  <c r="C62" i="92"/>
  <c r="V57" i="92"/>
  <c r="U57" i="92"/>
  <c r="T57" i="92"/>
  <c r="S57" i="92"/>
  <c r="R57" i="92"/>
  <c r="Q57" i="92"/>
  <c r="P57" i="92"/>
  <c r="O57" i="92"/>
  <c r="N57" i="92"/>
  <c r="M57" i="92"/>
  <c r="L57" i="92"/>
  <c r="K57" i="92"/>
  <c r="J57" i="92"/>
  <c r="I57" i="92"/>
  <c r="H57" i="92"/>
  <c r="G57" i="92"/>
  <c r="F57" i="92"/>
  <c r="E57" i="92"/>
  <c r="D57" i="92"/>
  <c r="C57" i="92"/>
  <c r="I21" i="92"/>
  <c r="J21" i="92"/>
  <c r="L21" i="92"/>
  <c r="O6" i="92"/>
  <c r="F50" i="92"/>
  <c r="E50" i="92"/>
  <c r="D50" i="92"/>
  <c r="C50" i="92"/>
  <c r="Y40" i="92"/>
  <c r="C45" i="92"/>
  <c r="D45" i="92"/>
  <c r="E45" i="92"/>
  <c r="F45" i="92"/>
  <c r="G45" i="92"/>
  <c r="H45" i="92"/>
  <c r="I45" i="92"/>
  <c r="J45" i="92"/>
  <c r="K45" i="92"/>
  <c r="L45" i="92"/>
  <c r="M45" i="92"/>
  <c r="N45" i="92"/>
  <c r="O45" i="92"/>
  <c r="P45" i="92"/>
  <c r="Q45" i="92"/>
  <c r="R45" i="92"/>
  <c r="S45" i="92"/>
  <c r="T45" i="92"/>
  <c r="U45" i="92"/>
  <c r="V45" i="92"/>
  <c r="N12" i="92"/>
  <c r="O12" i="92"/>
  <c r="Q12" i="92"/>
  <c r="O5" i="92"/>
  <c r="Z39" i="92"/>
  <c r="Z40" i="92"/>
  <c r="Z42" i="92"/>
  <c r="Z43" i="92"/>
  <c r="Z45" i="92"/>
  <c r="Z46" i="92"/>
  <c r="Z47" i="92"/>
  <c r="Z48" i="92"/>
  <c r="Y39" i="92"/>
  <c r="Y43" i="92"/>
  <c r="V38" i="92"/>
  <c r="U38" i="92"/>
  <c r="T38" i="92"/>
  <c r="S38" i="92"/>
  <c r="R38" i="92"/>
  <c r="Q38" i="92"/>
  <c r="P38" i="92"/>
  <c r="O38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B12" i="92"/>
  <c r="C12" i="92"/>
  <c r="E12" i="92"/>
  <c r="I5" i="92"/>
  <c r="R25" i="92"/>
  <c r="M25" i="92"/>
  <c r="R24" i="92"/>
  <c r="M24" i="92"/>
  <c r="R23" i="92"/>
  <c r="M23" i="92"/>
  <c r="H18" i="92"/>
  <c r="C18" i="92"/>
  <c r="H17" i="92"/>
  <c r="C17" i="92"/>
  <c r="H16" i="92"/>
  <c r="C16" i="92"/>
  <c r="U15" i="92"/>
  <c r="P15" i="92"/>
  <c r="H15" i="92"/>
  <c r="C15" i="92"/>
  <c r="U14" i="92"/>
  <c r="P14" i="92"/>
  <c r="H14" i="92"/>
  <c r="C14" i="92"/>
  <c r="P102" i="91"/>
  <c r="O102" i="91"/>
  <c r="N102" i="91"/>
  <c r="M102" i="91"/>
  <c r="L102" i="91"/>
  <c r="K102" i="91"/>
  <c r="J102" i="91"/>
  <c r="I102" i="91"/>
  <c r="H102" i="91"/>
  <c r="G102" i="91"/>
  <c r="F102" i="91"/>
  <c r="E102" i="91"/>
  <c r="D102" i="91"/>
  <c r="C102" i="91"/>
  <c r="U95" i="91"/>
  <c r="T95" i="91"/>
  <c r="S95" i="91"/>
  <c r="R95" i="91"/>
  <c r="Q95" i="91"/>
  <c r="P95" i="91"/>
  <c r="O95" i="91"/>
  <c r="N95" i="91"/>
  <c r="M95" i="91"/>
  <c r="L95" i="91"/>
  <c r="K95" i="91"/>
  <c r="J95" i="91"/>
  <c r="I95" i="91"/>
  <c r="H95" i="91"/>
  <c r="G95" i="91"/>
  <c r="F95" i="91"/>
  <c r="E95" i="91"/>
  <c r="D95" i="91"/>
  <c r="C95" i="91"/>
  <c r="R88" i="91"/>
  <c r="Q88" i="91"/>
  <c r="P88" i="91"/>
  <c r="O88" i="91"/>
  <c r="N88" i="91"/>
  <c r="M88" i="91"/>
  <c r="L88" i="91"/>
  <c r="K88" i="91"/>
  <c r="J88" i="91"/>
  <c r="I88" i="91"/>
  <c r="H88" i="91"/>
  <c r="G88" i="91"/>
  <c r="F88" i="91"/>
  <c r="E88" i="91"/>
  <c r="D88" i="91"/>
  <c r="C88" i="91"/>
  <c r="F81" i="91"/>
  <c r="E81" i="91"/>
  <c r="D81" i="91"/>
  <c r="C81" i="91"/>
  <c r="Y42" i="91"/>
  <c r="V76" i="91"/>
  <c r="U76" i="91"/>
  <c r="T76" i="91"/>
  <c r="S76" i="91"/>
  <c r="R76" i="91"/>
  <c r="Q76" i="91"/>
  <c r="P76" i="91"/>
  <c r="O76" i="91"/>
  <c r="N76" i="91"/>
  <c r="M76" i="91"/>
  <c r="L76" i="91"/>
  <c r="K76" i="91"/>
  <c r="Y41" i="91"/>
  <c r="J76" i="91"/>
  <c r="I76" i="91"/>
  <c r="H76" i="91"/>
  <c r="G76" i="91"/>
  <c r="F76" i="91"/>
  <c r="E76" i="91"/>
  <c r="D76" i="91"/>
  <c r="C76" i="91"/>
  <c r="Z41" i="91"/>
  <c r="T69" i="91"/>
  <c r="S69" i="91"/>
  <c r="R69" i="91"/>
  <c r="Q69" i="91"/>
  <c r="P69" i="91"/>
  <c r="O69" i="91"/>
  <c r="N69" i="91"/>
  <c r="M69" i="91"/>
  <c r="L69" i="91"/>
  <c r="K69" i="91"/>
  <c r="J69" i="91"/>
  <c r="I69" i="91"/>
  <c r="H69" i="91"/>
  <c r="G69" i="91"/>
  <c r="F69" i="91"/>
  <c r="E69" i="91"/>
  <c r="D69" i="91"/>
  <c r="C69" i="91"/>
  <c r="Q62" i="91"/>
  <c r="P62" i="91"/>
  <c r="O62" i="91"/>
  <c r="N62" i="91"/>
  <c r="M62" i="91"/>
  <c r="L62" i="91"/>
  <c r="K62" i="91"/>
  <c r="J62" i="91"/>
  <c r="I62" i="91"/>
  <c r="H62" i="91"/>
  <c r="G62" i="91"/>
  <c r="F62" i="91"/>
  <c r="E62" i="91"/>
  <c r="D62" i="91"/>
  <c r="C62" i="91"/>
  <c r="V57" i="91"/>
  <c r="U57" i="91"/>
  <c r="T57" i="91"/>
  <c r="S57" i="91"/>
  <c r="R57" i="91"/>
  <c r="Q57" i="91"/>
  <c r="P57" i="91"/>
  <c r="O57" i="91"/>
  <c r="N57" i="91"/>
  <c r="M57" i="91"/>
  <c r="L57" i="91"/>
  <c r="K57" i="91"/>
  <c r="J57" i="91"/>
  <c r="I57" i="91"/>
  <c r="H57" i="91"/>
  <c r="G57" i="91"/>
  <c r="F57" i="91"/>
  <c r="E57" i="91"/>
  <c r="D57" i="91"/>
  <c r="C57" i="91"/>
  <c r="I21" i="91"/>
  <c r="J21" i="91"/>
  <c r="L21" i="91"/>
  <c r="O6" i="91"/>
  <c r="F50" i="91"/>
  <c r="E50" i="91"/>
  <c r="D50" i="91"/>
  <c r="C50" i="91"/>
  <c r="Y40" i="91"/>
  <c r="C45" i="91"/>
  <c r="D45" i="91"/>
  <c r="E45" i="91"/>
  <c r="F45" i="91"/>
  <c r="G45" i="91"/>
  <c r="H45" i="91"/>
  <c r="I45" i="91"/>
  <c r="J45" i="91"/>
  <c r="K45" i="91"/>
  <c r="L45" i="91"/>
  <c r="M45" i="91"/>
  <c r="N45" i="91"/>
  <c r="O45" i="91"/>
  <c r="P45" i="91"/>
  <c r="Q45" i="91"/>
  <c r="R45" i="91"/>
  <c r="S45" i="91"/>
  <c r="T45" i="91"/>
  <c r="U45" i="91"/>
  <c r="V45" i="91"/>
  <c r="N12" i="91"/>
  <c r="O12" i="91"/>
  <c r="Q12" i="91"/>
  <c r="O5" i="91"/>
  <c r="Z39" i="91"/>
  <c r="Z40" i="91"/>
  <c r="Z42" i="91"/>
  <c r="Z43" i="91"/>
  <c r="Z45" i="91"/>
  <c r="Z46" i="91"/>
  <c r="Z47" i="91"/>
  <c r="Z48" i="91"/>
  <c r="Y39" i="91"/>
  <c r="Y43" i="91"/>
  <c r="V38" i="91"/>
  <c r="U38" i="91"/>
  <c r="T38" i="91"/>
  <c r="S38" i="91"/>
  <c r="R38" i="91"/>
  <c r="Q38" i="91"/>
  <c r="P38" i="91"/>
  <c r="O38" i="91"/>
  <c r="N38" i="91"/>
  <c r="M38" i="91"/>
  <c r="L38" i="91"/>
  <c r="K38" i="91"/>
  <c r="J38" i="91"/>
  <c r="I38" i="91"/>
  <c r="H38" i="91"/>
  <c r="G38" i="91"/>
  <c r="F38" i="91"/>
  <c r="E38" i="91"/>
  <c r="D38" i="91"/>
  <c r="C38" i="91"/>
  <c r="B12" i="91"/>
  <c r="C12" i="91"/>
  <c r="E12" i="91"/>
  <c r="I5" i="91"/>
  <c r="R25" i="91"/>
  <c r="M25" i="91"/>
  <c r="R24" i="91"/>
  <c r="M24" i="91"/>
  <c r="R23" i="91"/>
  <c r="M23" i="91"/>
  <c r="H18" i="91"/>
  <c r="C18" i="91"/>
  <c r="H17" i="91"/>
  <c r="C17" i="91"/>
  <c r="H16" i="91"/>
  <c r="C16" i="91"/>
  <c r="U15" i="91"/>
  <c r="P15" i="91"/>
  <c r="H15" i="91"/>
  <c r="C15" i="91"/>
  <c r="U14" i="91"/>
  <c r="P14" i="91"/>
  <c r="H14" i="91"/>
  <c r="C14" i="91"/>
  <c r="P102" i="90"/>
  <c r="O102" i="90"/>
  <c r="N102" i="90"/>
  <c r="M102" i="90"/>
  <c r="L102" i="90"/>
  <c r="K102" i="90"/>
  <c r="J102" i="90"/>
  <c r="I102" i="90"/>
  <c r="H102" i="90"/>
  <c r="G102" i="90"/>
  <c r="F102" i="90"/>
  <c r="E102" i="90"/>
  <c r="D102" i="90"/>
  <c r="C102" i="90"/>
  <c r="U95" i="90"/>
  <c r="T95" i="90"/>
  <c r="S95" i="90"/>
  <c r="R95" i="90"/>
  <c r="Q95" i="90"/>
  <c r="P95" i="90"/>
  <c r="O95" i="90"/>
  <c r="N95" i="90"/>
  <c r="M95" i="90"/>
  <c r="L95" i="90"/>
  <c r="K95" i="90"/>
  <c r="J95" i="90"/>
  <c r="I95" i="90"/>
  <c r="H95" i="90"/>
  <c r="G95" i="90"/>
  <c r="F95" i="90"/>
  <c r="E95" i="90"/>
  <c r="D95" i="90"/>
  <c r="C95" i="90"/>
  <c r="R88" i="90"/>
  <c r="Q88" i="90"/>
  <c r="P88" i="90"/>
  <c r="O88" i="90"/>
  <c r="N88" i="90"/>
  <c r="M88" i="90"/>
  <c r="L88" i="90"/>
  <c r="K88" i="90"/>
  <c r="J88" i="90"/>
  <c r="I88" i="90"/>
  <c r="H88" i="90"/>
  <c r="G88" i="90"/>
  <c r="F88" i="90"/>
  <c r="E88" i="90"/>
  <c r="D88" i="90"/>
  <c r="C88" i="90"/>
  <c r="F81" i="90"/>
  <c r="E81" i="90"/>
  <c r="D81" i="90"/>
  <c r="C81" i="90"/>
  <c r="Y42" i="90"/>
  <c r="V76" i="90"/>
  <c r="U76" i="90"/>
  <c r="T76" i="90"/>
  <c r="S76" i="90"/>
  <c r="R76" i="90"/>
  <c r="Q76" i="90"/>
  <c r="P76" i="90"/>
  <c r="O76" i="90"/>
  <c r="N76" i="90"/>
  <c r="M76" i="90"/>
  <c r="L76" i="90"/>
  <c r="K76" i="90"/>
  <c r="Y41" i="90"/>
  <c r="J76" i="90"/>
  <c r="I76" i="90"/>
  <c r="H76" i="90"/>
  <c r="G76" i="90"/>
  <c r="F76" i="90"/>
  <c r="E76" i="90"/>
  <c r="D76" i="90"/>
  <c r="C76" i="90"/>
  <c r="Z41" i="90"/>
  <c r="T69" i="90"/>
  <c r="S69" i="90"/>
  <c r="R69" i="90"/>
  <c r="Q69" i="90"/>
  <c r="P69" i="90"/>
  <c r="O69" i="90"/>
  <c r="N69" i="90"/>
  <c r="M69" i="90"/>
  <c r="L69" i="90"/>
  <c r="K69" i="90"/>
  <c r="J69" i="90"/>
  <c r="I69" i="90"/>
  <c r="H69" i="90"/>
  <c r="G69" i="90"/>
  <c r="F69" i="90"/>
  <c r="E69" i="90"/>
  <c r="D69" i="90"/>
  <c r="C69" i="90"/>
  <c r="Q62" i="90"/>
  <c r="P62" i="90"/>
  <c r="O62" i="90"/>
  <c r="N62" i="90"/>
  <c r="M62" i="90"/>
  <c r="L62" i="90"/>
  <c r="K62" i="90"/>
  <c r="J62" i="90"/>
  <c r="I62" i="90"/>
  <c r="H62" i="90"/>
  <c r="G62" i="90"/>
  <c r="F62" i="90"/>
  <c r="E62" i="90"/>
  <c r="D62" i="90"/>
  <c r="C62" i="90"/>
  <c r="V57" i="90"/>
  <c r="U57" i="90"/>
  <c r="T57" i="90"/>
  <c r="S57" i="90"/>
  <c r="R57" i="90"/>
  <c r="Q57" i="90"/>
  <c r="P57" i="90"/>
  <c r="O57" i="90"/>
  <c r="N57" i="90"/>
  <c r="M57" i="90"/>
  <c r="L57" i="90"/>
  <c r="K57" i="90"/>
  <c r="J57" i="90"/>
  <c r="I57" i="90"/>
  <c r="H57" i="90"/>
  <c r="G57" i="90"/>
  <c r="F57" i="90"/>
  <c r="E57" i="90"/>
  <c r="D57" i="90"/>
  <c r="C57" i="90"/>
  <c r="I21" i="90"/>
  <c r="J21" i="90"/>
  <c r="L21" i="90"/>
  <c r="O6" i="90"/>
  <c r="F50" i="90"/>
  <c r="E50" i="90"/>
  <c r="D50" i="90"/>
  <c r="C50" i="90"/>
  <c r="Y40" i="90"/>
  <c r="C45" i="90"/>
  <c r="D45" i="90"/>
  <c r="E45" i="90"/>
  <c r="F45" i="90"/>
  <c r="G45" i="90"/>
  <c r="H45" i="90"/>
  <c r="I45" i="90"/>
  <c r="J45" i="90"/>
  <c r="K45" i="90"/>
  <c r="L45" i="90"/>
  <c r="M45" i="90"/>
  <c r="N45" i="90"/>
  <c r="O45" i="90"/>
  <c r="P45" i="90"/>
  <c r="Q45" i="90"/>
  <c r="R45" i="90"/>
  <c r="S45" i="90"/>
  <c r="T45" i="90"/>
  <c r="U45" i="90"/>
  <c r="V45" i="90"/>
  <c r="N12" i="90"/>
  <c r="O12" i="90"/>
  <c r="Q12" i="90"/>
  <c r="O5" i="90"/>
  <c r="Z39" i="90"/>
  <c r="Z40" i="90"/>
  <c r="Z42" i="90"/>
  <c r="Z43" i="90"/>
  <c r="Z45" i="90"/>
  <c r="Z46" i="90"/>
  <c r="Z47" i="90"/>
  <c r="Z48" i="90"/>
  <c r="Y39" i="90"/>
  <c r="Y43" i="90"/>
  <c r="V38" i="90"/>
  <c r="U38" i="90"/>
  <c r="T38" i="90"/>
  <c r="S38" i="90"/>
  <c r="R38" i="90"/>
  <c r="Q38" i="90"/>
  <c r="P38" i="90"/>
  <c r="O38" i="90"/>
  <c r="N38" i="90"/>
  <c r="M38" i="90"/>
  <c r="L38" i="90"/>
  <c r="K38" i="90"/>
  <c r="J38" i="90"/>
  <c r="I38" i="90"/>
  <c r="H38" i="90"/>
  <c r="G38" i="90"/>
  <c r="F38" i="90"/>
  <c r="E38" i="90"/>
  <c r="D38" i="90"/>
  <c r="C38" i="90"/>
  <c r="B12" i="90"/>
  <c r="C12" i="90"/>
  <c r="E12" i="90"/>
  <c r="I5" i="90"/>
  <c r="R25" i="90"/>
  <c r="M25" i="90"/>
  <c r="R24" i="90"/>
  <c r="M24" i="90"/>
  <c r="R23" i="90"/>
  <c r="M23" i="90"/>
  <c r="H18" i="90"/>
  <c r="C18" i="90"/>
  <c r="H17" i="90"/>
  <c r="C17" i="90"/>
  <c r="H16" i="90"/>
  <c r="C16" i="90"/>
  <c r="U15" i="90"/>
  <c r="P15" i="90"/>
  <c r="H15" i="90"/>
  <c r="C15" i="90"/>
  <c r="U14" i="90"/>
  <c r="P14" i="90"/>
  <c r="H14" i="90"/>
  <c r="C14" i="90"/>
  <c r="P15" i="83"/>
  <c r="P14" i="83"/>
  <c r="C18" i="83"/>
  <c r="C17" i="83"/>
  <c r="C16" i="83"/>
  <c r="C15" i="83"/>
  <c r="C14" i="83"/>
  <c r="P102" i="83"/>
  <c r="O102" i="83"/>
  <c r="N102" i="83"/>
  <c r="M102" i="83"/>
  <c r="L102" i="83"/>
  <c r="K102" i="83"/>
  <c r="J102" i="83"/>
  <c r="I102" i="83"/>
  <c r="H102" i="83"/>
  <c r="G102" i="83"/>
  <c r="F102" i="83"/>
  <c r="E102" i="83"/>
  <c r="D102" i="83"/>
  <c r="C102" i="83"/>
  <c r="U95" i="83"/>
  <c r="T95" i="83"/>
  <c r="S95" i="83"/>
  <c r="R95" i="83"/>
  <c r="Q95" i="83"/>
  <c r="P95" i="83"/>
  <c r="O95" i="83"/>
  <c r="N95" i="83"/>
  <c r="M95" i="83"/>
  <c r="L95" i="83"/>
  <c r="K95" i="83"/>
  <c r="J95" i="83"/>
  <c r="I95" i="83"/>
  <c r="H95" i="83"/>
  <c r="G95" i="83"/>
  <c r="F95" i="83"/>
  <c r="E95" i="83"/>
  <c r="D95" i="83"/>
  <c r="C95" i="83"/>
  <c r="R88" i="83"/>
  <c r="Q88" i="83"/>
  <c r="P88" i="83"/>
  <c r="O88" i="83"/>
  <c r="N88" i="83"/>
  <c r="M88" i="83"/>
  <c r="L88" i="83"/>
  <c r="K88" i="83"/>
  <c r="J88" i="83"/>
  <c r="I88" i="83"/>
  <c r="H88" i="83"/>
  <c r="G88" i="83"/>
  <c r="F88" i="83"/>
  <c r="E88" i="83"/>
  <c r="D88" i="83"/>
  <c r="C88" i="83"/>
  <c r="F81" i="83"/>
  <c r="E81" i="83"/>
  <c r="D81" i="83"/>
  <c r="C81" i="83"/>
  <c r="Y42" i="83"/>
  <c r="V76" i="83"/>
  <c r="U76" i="83"/>
  <c r="T76" i="83"/>
  <c r="S76" i="83"/>
  <c r="R76" i="83"/>
  <c r="Q76" i="83"/>
  <c r="P76" i="83"/>
  <c r="O76" i="83"/>
  <c r="N76" i="83"/>
  <c r="M76" i="83"/>
  <c r="L76" i="83"/>
  <c r="K76" i="83"/>
  <c r="Y41" i="83"/>
  <c r="J76" i="83"/>
  <c r="I76" i="83"/>
  <c r="H76" i="83"/>
  <c r="G76" i="83"/>
  <c r="F76" i="83"/>
  <c r="E76" i="83"/>
  <c r="D76" i="83"/>
  <c r="C76" i="83"/>
  <c r="T69" i="83"/>
  <c r="S69" i="83"/>
  <c r="R69" i="83"/>
  <c r="Q69" i="83"/>
  <c r="P69" i="83"/>
  <c r="O69" i="83"/>
  <c r="N69" i="83"/>
  <c r="M69" i="83"/>
  <c r="L69" i="83"/>
  <c r="K69" i="83"/>
  <c r="J69" i="83"/>
  <c r="I69" i="83"/>
  <c r="H69" i="83"/>
  <c r="G69" i="83"/>
  <c r="F69" i="83"/>
  <c r="E69" i="83"/>
  <c r="D69" i="83"/>
  <c r="C69" i="83"/>
  <c r="Q62" i="83"/>
  <c r="P62" i="83"/>
  <c r="O62" i="83"/>
  <c r="N62" i="83"/>
  <c r="M62" i="83"/>
  <c r="L62" i="83"/>
  <c r="K62" i="83"/>
  <c r="J62" i="83"/>
  <c r="I62" i="83"/>
  <c r="H62" i="83"/>
  <c r="G62" i="83"/>
  <c r="F62" i="83"/>
  <c r="E62" i="83"/>
  <c r="D62" i="83"/>
  <c r="C62" i="83"/>
  <c r="V57" i="83"/>
  <c r="U57" i="83"/>
  <c r="T57" i="83"/>
  <c r="S57" i="83"/>
  <c r="R57" i="83"/>
  <c r="Q57" i="83"/>
  <c r="P57" i="83"/>
  <c r="O57" i="83"/>
  <c r="N57" i="83"/>
  <c r="M57" i="83"/>
  <c r="L57" i="83"/>
  <c r="K57" i="83"/>
  <c r="J57" i="83"/>
  <c r="I57" i="83"/>
  <c r="H57" i="83"/>
  <c r="G57" i="83"/>
  <c r="F57" i="83"/>
  <c r="E57" i="83"/>
  <c r="D57" i="83"/>
  <c r="C57" i="83"/>
  <c r="F50" i="83"/>
  <c r="E50" i="83"/>
  <c r="D50" i="83"/>
  <c r="C50" i="83"/>
  <c r="C45" i="83"/>
  <c r="D45" i="83"/>
  <c r="E45" i="83"/>
  <c r="F45" i="83"/>
  <c r="G45" i="83"/>
  <c r="H45" i="83"/>
  <c r="I45" i="83"/>
  <c r="J45" i="83"/>
  <c r="K45" i="83"/>
  <c r="L45" i="83"/>
  <c r="M45" i="83"/>
  <c r="N45" i="83"/>
  <c r="O45" i="83"/>
  <c r="P45" i="83"/>
  <c r="Q45" i="83"/>
  <c r="R45" i="83"/>
  <c r="S45" i="83"/>
  <c r="T45" i="83"/>
  <c r="U45" i="83"/>
  <c r="V45" i="83"/>
  <c r="N12" i="83"/>
  <c r="Z39" i="83"/>
  <c r="Z40" i="83"/>
  <c r="Z41" i="83"/>
  <c r="Z42" i="83"/>
  <c r="Z43" i="83"/>
  <c r="Z45" i="83"/>
  <c r="Z46" i="83"/>
  <c r="Z47" i="83"/>
  <c r="Z48" i="83"/>
  <c r="Y39" i="83"/>
  <c r="Y40" i="83"/>
  <c r="Y43" i="83"/>
  <c r="Y45" i="83"/>
  <c r="Y46" i="83"/>
  <c r="Y47" i="83"/>
  <c r="Y48" i="83"/>
  <c r="N31" i="83"/>
  <c r="V38" i="83"/>
  <c r="U38" i="83"/>
  <c r="T38" i="83"/>
  <c r="S38" i="83"/>
  <c r="R38" i="83"/>
  <c r="Q38" i="83"/>
  <c r="P38" i="83"/>
  <c r="O38" i="83"/>
  <c r="N38" i="83"/>
  <c r="M38" i="83"/>
  <c r="L38" i="83"/>
  <c r="K38" i="83"/>
  <c r="J38" i="83"/>
  <c r="I38" i="83"/>
  <c r="H38" i="83"/>
  <c r="G38" i="83"/>
  <c r="F38" i="83"/>
  <c r="C38" i="83"/>
  <c r="D38" i="83"/>
  <c r="E38" i="83"/>
  <c r="B12" i="83"/>
  <c r="C12" i="83"/>
  <c r="I21" i="83"/>
  <c r="J21" i="83"/>
  <c r="L21" i="83"/>
  <c r="O6" i="83"/>
  <c r="E12" i="83"/>
  <c r="I5" i="83"/>
  <c r="B31" i="83"/>
  <c r="R25" i="83"/>
  <c r="M25" i="83"/>
  <c r="R24" i="83"/>
  <c r="M24" i="83"/>
  <c r="R23" i="83"/>
  <c r="M23" i="83"/>
  <c r="H18" i="83"/>
  <c r="H17" i="83"/>
  <c r="H16" i="83"/>
  <c r="U15" i="83"/>
  <c r="H15" i="83"/>
  <c r="U14" i="83"/>
  <c r="H14" i="83"/>
  <c r="O12" i="83"/>
  <c r="Q12" i="83"/>
  <c r="O5" i="83"/>
  <c r="Y39" i="93"/>
  <c r="Y45" i="93"/>
  <c r="Y46" i="93"/>
  <c r="Y47" i="93"/>
  <c r="Y48" i="93"/>
  <c r="Z41" i="93"/>
  <c r="I21" i="93"/>
  <c r="L21" i="93"/>
  <c r="O6" i="93"/>
  <c r="N12" i="93"/>
  <c r="Q12" i="93"/>
  <c r="O5" i="93"/>
  <c r="E12" i="93"/>
  <c r="I5" i="93"/>
  <c r="G31" i="83"/>
  <c r="I31" i="83"/>
  <c r="H31" i="90"/>
  <c r="G31" i="90"/>
  <c r="I31" i="90"/>
  <c r="H31" i="92"/>
  <c r="I31" i="92"/>
  <c r="G31" i="92"/>
  <c r="Y45" i="90"/>
  <c r="Y46" i="90"/>
  <c r="Y47" i="90"/>
  <c r="Y48" i="90"/>
  <c r="Y45" i="91"/>
  <c r="Y46" i="91"/>
  <c r="Y47" i="91"/>
  <c r="Y48" i="91"/>
  <c r="Y45" i="92"/>
  <c r="Y46" i="92"/>
  <c r="Y47" i="92"/>
  <c r="Y48" i="92"/>
  <c r="H31" i="83"/>
  <c r="M31" i="83"/>
  <c r="J31" i="83"/>
  <c r="H31" i="91"/>
  <c r="G31" i="91"/>
  <c r="I31" i="91"/>
  <c r="A31" i="83"/>
  <c r="E31" i="83"/>
  <c r="D31" i="83"/>
  <c r="N31" i="91"/>
  <c r="M31" i="91"/>
  <c r="J31" i="91"/>
  <c r="N31" i="90"/>
  <c r="M31" i="90"/>
  <c r="J31" i="90"/>
  <c r="N31" i="92"/>
  <c r="M31" i="92"/>
  <c r="J31" i="92"/>
  <c r="B31" i="90"/>
  <c r="E31" i="90"/>
  <c r="I7" i="90"/>
  <c r="A31" i="90"/>
  <c r="D31" i="90"/>
  <c r="B31" i="92"/>
  <c r="E31" i="92"/>
  <c r="I7" i="92"/>
  <c r="A31" i="92"/>
  <c r="D31" i="92"/>
  <c r="A31" i="91"/>
  <c r="E31" i="91"/>
  <c r="B31" i="91"/>
  <c r="D31" i="91"/>
  <c r="I7" i="91"/>
  <c r="V31" i="83"/>
  <c r="U31" i="83"/>
  <c r="P31" i="83"/>
  <c r="R31" i="83"/>
  <c r="P31" i="90"/>
  <c r="N7" i="90"/>
  <c r="V31" i="90"/>
  <c r="R31" i="90"/>
  <c r="U31" i="90"/>
  <c r="N7" i="92"/>
  <c r="U31" i="92"/>
  <c r="R31" i="92"/>
  <c r="V31" i="92"/>
  <c r="P31" i="92"/>
  <c r="I7" i="83"/>
  <c r="N7" i="83"/>
  <c r="U31" i="91"/>
  <c r="R31" i="91"/>
  <c r="N7" i="91"/>
  <c r="V31" i="91"/>
  <c r="P31" i="91"/>
  <c r="Z45" i="93"/>
  <c r="Z46" i="93"/>
  <c r="Z47" i="93"/>
  <c r="Z48" i="93"/>
  <c r="H31" i="93"/>
  <c r="P31" i="93"/>
  <c r="V31" i="93"/>
  <c r="U31" i="93"/>
  <c r="R31" i="93"/>
  <c r="D31" i="93"/>
  <c r="A31" i="93"/>
  <c r="E31" i="93"/>
  <c r="B31" i="93"/>
  <c r="I7" i="93"/>
  <c r="N7" i="93"/>
  <c r="N31" i="93"/>
  <c r="M31" i="93"/>
  <c r="J31" i="93"/>
  <c r="G31" i="93"/>
  <c r="I31" i="93"/>
</calcChain>
</file>

<file path=xl/sharedStrings.xml><?xml version="1.0" encoding="utf-8"?>
<sst xmlns="http://schemas.openxmlformats.org/spreadsheetml/2006/main" count="2694" uniqueCount="146">
  <si>
    <t>Section 2</t>
  </si>
  <si>
    <t>Question</t>
  </si>
  <si>
    <t>Type</t>
  </si>
  <si>
    <t>Key</t>
  </si>
  <si>
    <t>Student Ans</t>
  </si>
  <si>
    <t>Section 3</t>
  </si>
  <si>
    <t>Section 5</t>
  </si>
  <si>
    <t>Section 6</t>
  </si>
  <si>
    <t>Section 7</t>
  </si>
  <si>
    <t>Section 8</t>
  </si>
  <si>
    <t>Section 9</t>
  </si>
  <si>
    <t>Section 10</t>
  </si>
  <si>
    <t>Math</t>
  </si>
  <si>
    <t>CR</t>
  </si>
  <si>
    <t>Writing</t>
  </si>
  <si>
    <t>Critical reading</t>
  </si>
  <si>
    <t>Total w/o Writing</t>
  </si>
  <si>
    <t>Total w/ Writing</t>
  </si>
  <si>
    <t>Math Score</t>
  </si>
  <si>
    <t>Geometry</t>
  </si>
  <si>
    <t>Numbers</t>
  </si>
  <si>
    <t>Logic</t>
  </si>
  <si>
    <t>Algebra</t>
  </si>
  <si>
    <t>Data</t>
  </si>
  <si>
    <t>Legend</t>
  </si>
  <si>
    <t>g=geometry</t>
  </si>
  <si>
    <t>n=numbers</t>
  </si>
  <si>
    <t>l=logic</t>
  </si>
  <si>
    <t>a=algebra</t>
  </si>
  <si>
    <t>d=data</t>
  </si>
  <si>
    <t>pb=passage based</t>
  </si>
  <si>
    <t>sc=sentence completion</t>
  </si>
  <si>
    <t>is=improving sentences</t>
  </si>
  <si>
    <t>ip=improving paragraphs</t>
  </si>
  <si>
    <t>ise=identifying sentence errors</t>
  </si>
  <si>
    <t>Raw</t>
  </si>
  <si>
    <t>Rounded</t>
  </si>
  <si>
    <t>Q Type</t>
  </si>
  <si>
    <t># Q's</t>
  </si>
  <si>
    <t># Correct</t>
  </si>
  <si>
    <t># incorrect</t>
  </si>
  <si>
    <t>%Correct</t>
  </si>
  <si>
    <t>%Correct (of q's answered)</t>
  </si>
  <si>
    <t>Passage Based</t>
  </si>
  <si>
    <t>Sentence Comp.</t>
  </si>
  <si>
    <t>Improving Sentences</t>
  </si>
  <si>
    <t>Improving Paragraphs</t>
  </si>
  <si>
    <t>Identifying Sentence Errors</t>
  </si>
  <si>
    <t>c</t>
  </si>
  <si>
    <t>e</t>
  </si>
  <si>
    <t>a</t>
  </si>
  <si>
    <t>b</t>
  </si>
  <si>
    <t>d</t>
  </si>
  <si>
    <t>Pts</t>
  </si>
  <si>
    <t>n</t>
  </si>
  <si>
    <t>l</t>
  </si>
  <si>
    <t>g</t>
  </si>
  <si>
    <t>sc</t>
  </si>
  <si>
    <t>pb</t>
  </si>
  <si>
    <t>is</t>
  </si>
  <si>
    <t>ise</t>
  </si>
  <si>
    <t>ip</t>
  </si>
  <si>
    <t>3&lt;x&lt;4</t>
  </si>
  <si>
    <t>Writing Score</t>
  </si>
  <si>
    <t>Guide of 2010-2011</t>
  </si>
  <si>
    <t>Target Numbers</t>
  </si>
  <si>
    <t>Start Score</t>
  </si>
  <si>
    <t>20Q Section</t>
  </si>
  <si>
    <t>8Q &amp; 10 Grid-Ins</t>
  </si>
  <si>
    <t>16Q Section</t>
  </si>
  <si>
    <t>Target Score</t>
  </si>
  <si>
    <t>Raw Score</t>
  </si>
  <si>
    <t>Writing MC</t>
  </si>
  <si>
    <t>Do almost all</t>
  </si>
  <si>
    <t>Essay Raw Score</t>
  </si>
  <si>
    <t>Writing Raw</t>
  </si>
  <si>
    <t>Essay Score</t>
  </si>
  <si>
    <t>(Math)</t>
  </si>
  <si>
    <t>(Critical Reading)</t>
  </si>
  <si>
    <t>(Writing)</t>
  </si>
  <si>
    <t>MATH</t>
  </si>
  <si>
    <t>CR/W</t>
  </si>
  <si>
    <t>Critical Reading</t>
  </si>
  <si>
    <t xml:space="preserve">Score Report for </t>
  </si>
  <si>
    <t>Student Name's</t>
  </si>
  <si>
    <t>Overall Test Scores</t>
  </si>
  <si>
    <t>Target Numbers -- Numbers to ANSWER</t>
  </si>
  <si>
    <t>16Q</t>
  </si>
  <si>
    <t>18Q</t>
  </si>
  <si>
    <t>20Q</t>
  </si>
  <si>
    <t>Sent. Completion</t>
  </si>
  <si>
    <t>11Q Imp. Sent.</t>
  </si>
  <si>
    <t>18Q Iden. Sent. &amp; Improv. Paragraph</t>
  </si>
  <si>
    <t>Sect. 10</t>
  </si>
  <si>
    <t>8Q</t>
  </si>
  <si>
    <t>6Q</t>
  </si>
  <si>
    <t>5Q</t>
  </si>
  <si>
    <t>Total Number</t>
  </si>
  <si>
    <t>Percent</t>
  </si>
  <si>
    <t>4 MC, 5 GI</t>
  </si>
  <si>
    <t>26 of 48</t>
  </si>
  <si>
    <t>12-22, 3 of #30-35</t>
  </si>
  <si>
    <t>5 MC, 6 GI</t>
  </si>
  <si>
    <t>5 MC, 7 GI</t>
  </si>
  <si>
    <t>6 MC, 8 GI</t>
  </si>
  <si>
    <t>7 MC, 9 GI</t>
  </si>
  <si>
    <t>Skip 5 Total</t>
  </si>
  <si>
    <t>Sentence Completion</t>
  </si>
  <si>
    <t>8Q Section</t>
  </si>
  <si>
    <t>6Q Section</t>
  </si>
  <si>
    <t>5Q Section</t>
  </si>
  <si>
    <t>Start Score*</t>
  </si>
  <si>
    <t>Target Number of Questions to Skip</t>
  </si>
  <si>
    <t>Target number, percentage of questions to answer</t>
  </si>
  <si>
    <t>11Q Chunk:</t>
  </si>
  <si>
    <t>18Q Chunk:</t>
  </si>
  <si>
    <t>Section 10:</t>
  </si>
  <si>
    <t>22 (6-9 per section)</t>
  </si>
  <si>
    <r>
      <t xml:space="preserve"> </t>
    </r>
    <r>
      <rPr>
        <sz val="10"/>
        <color indexed="8"/>
        <rFont val="Footlight MT Light"/>
        <family val="1"/>
      </rPr>
      <t>Improving Sentences, #1-11 of 35</t>
    </r>
  </si>
  <si>
    <t>Identifying Sentence Errors, #12-29 of 35</t>
  </si>
  <si>
    <t>14Q: Improving Sentences</t>
  </si>
  <si>
    <t>Also: 6Q Improving Paragraphs, #30-35</t>
  </si>
  <si>
    <t>18 (5-7 per section)</t>
  </si>
  <si>
    <t>30 of 48</t>
  </si>
  <si>
    <t>14 (4-6 per section)</t>
  </si>
  <si>
    <t>34 of 48</t>
  </si>
  <si>
    <t>10 (3-4 per section)</t>
  </si>
  <si>
    <t>38 of 48</t>
  </si>
  <si>
    <t>12-24, 4 of #30-35</t>
  </si>
  <si>
    <t>6 (1-3 per section)</t>
  </si>
  <si>
    <t>42 of 48</t>
  </si>
  <si>
    <t>12-25, 5 of #30-35</t>
  </si>
  <si>
    <t>Do Almost All the Questions</t>
  </si>
  <si>
    <t>5 total</t>
  </si>
  <si>
    <t>43 of 48</t>
  </si>
  <si>
    <t>12-26, 5 of #30-35</t>
  </si>
  <si>
    <t>1 total</t>
  </si>
  <si>
    <t>47 of 48</t>
  </si>
  <si>
    <t>12-28, 5 of #30-35</t>
  </si>
  <si>
    <t>Skip Five Questions Total</t>
  </si>
  <si>
    <t>P-B</t>
  </si>
  <si>
    <t>S-C</t>
  </si>
  <si>
    <t>Extrapolated</t>
  </si>
  <si>
    <t>Score</t>
  </si>
  <si>
    <t>Let's Get Ready 1st Practice Test</t>
  </si>
  <si>
    <t>Ronald 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</si>
</sst>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Calibri"/>
      <family val="2"/>
      <charset val="134"/>
      <scheme val="minor"/>
    </font>
    <font>
      <sz val="10"/>
      <name val="Verdana"/>
      <family val="2"/>
    </font>
    <font>
      <sz val="12"/>
      <color indexed="8"/>
      <name val="Lucida Grande"/>
    </font>
    <font>
      <sz val="10"/>
      <name val="Verdana"/>
      <family val="2"/>
    </font>
    <font>
      <sz val="10"/>
      <color indexed="8"/>
      <name val="Footlight MT Light"/>
      <family val="1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theme="1"/>
      <name val="Footlight MT Light"/>
      <family val="1"/>
    </font>
    <font>
      <sz val="11"/>
      <color theme="1"/>
      <name val="Footlight MT Light"/>
      <family val="1"/>
    </font>
    <font>
      <i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0"/>
      <color theme="1"/>
      <name val="Footlight MT Light"/>
      <family val="1"/>
    </font>
    <font>
      <sz val="10"/>
      <color theme="1"/>
      <name val="Footlight MT Light"/>
      <family val="1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1" fillId="0" borderId="0"/>
    <xf numFmtId="0" fontId="3" fillId="0" borderId="0"/>
    <xf numFmtId="0" fontId="6" fillId="0" borderId="0"/>
    <xf numFmtId="9" fontId="5" fillId="0" borderId="0" applyFont="0" applyFill="0" applyBorder="0" applyAlignment="0" applyProtection="0"/>
  </cellStyleXfs>
  <cellXfs count="20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8" fillId="4" borderId="0" xfId="0" applyFont="1" applyFill="1"/>
    <xf numFmtId="0" fontId="0" fillId="5" borderId="0" xfId="0" applyFill="1"/>
    <xf numFmtId="0" fontId="8" fillId="6" borderId="0" xfId="0" applyFont="1" applyFill="1"/>
    <xf numFmtId="0" fontId="9" fillId="4" borderId="0" xfId="0" applyFont="1" applyFill="1"/>
    <xf numFmtId="0" fontId="9" fillId="3" borderId="0" xfId="0" applyFont="1" applyFill="1"/>
    <xf numFmtId="0" fontId="9" fillId="2" borderId="0" xfId="0" applyFont="1" applyFill="1"/>
    <xf numFmtId="0" fontId="6" fillId="0" borderId="0" xfId="3"/>
    <xf numFmtId="0" fontId="10" fillId="0" borderId="0" xfId="3" applyFont="1"/>
    <xf numFmtId="0" fontId="11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7" fillId="7" borderId="3" xfId="3" applyFont="1" applyFill="1" applyBorder="1"/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6" fillId="0" borderId="3" xfId="3" applyBorder="1"/>
    <xf numFmtId="0" fontId="13" fillId="2" borderId="0" xfId="0" applyFont="1" applyFill="1"/>
    <xf numFmtId="0" fontId="13" fillId="3" borderId="0" xfId="0" applyFont="1" applyFill="1"/>
    <xf numFmtId="0" fontId="13" fillId="4" borderId="0" xfId="0" applyFont="1" applyFill="1"/>
    <xf numFmtId="0" fontId="14" fillId="6" borderId="0" xfId="0" applyFont="1" applyFill="1"/>
    <xf numFmtId="0" fontId="9" fillId="4" borderId="0" xfId="0" applyFont="1" applyFill="1" applyAlignment="1">
      <alignment horizontal="left"/>
    </xf>
    <xf numFmtId="0" fontId="9" fillId="3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0" fillId="0" borderId="0" xfId="0" applyFill="1"/>
    <xf numFmtId="0" fontId="7" fillId="7" borderId="3" xfId="3" applyFont="1" applyFill="1" applyBorder="1" applyAlignment="1">
      <alignment horizontal="center"/>
    </xf>
    <xf numFmtId="0" fontId="0" fillId="8" borderId="6" xfId="0" applyFill="1" applyBorder="1" applyAlignment="1"/>
    <xf numFmtId="0" fontId="0" fillId="8" borderId="7" xfId="0" applyFill="1" applyBorder="1" applyAlignment="1"/>
    <xf numFmtId="0" fontId="0" fillId="8" borderId="8" xfId="0" applyFill="1" applyBorder="1"/>
    <xf numFmtId="0" fontId="0" fillId="8" borderId="3" xfId="0" applyFill="1" applyBorder="1"/>
    <xf numFmtId="0" fontId="0" fillId="8" borderId="9" xfId="0" applyFill="1" applyBorder="1" applyAlignment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 applyAlignment="1"/>
    <xf numFmtId="0" fontId="0" fillId="8" borderId="13" xfId="0" applyFill="1" applyBorder="1" applyAlignment="1"/>
    <xf numFmtId="0" fontId="0" fillId="8" borderId="14" xfId="0" applyFill="1" applyBorder="1" applyAlignment="1"/>
    <xf numFmtId="0" fontId="0" fillId="3" borderId="7" xfId="0" applyFill="1" applyBorder="1"/>
    <xf numFmtId="9" fontId="5" fillId="3" borderId="7" xfId="4" applyFont="1" applyFill="1" applyBorder="1"/>
    <xf numFmtId="0" fontId="0" fillId="3" borderId="15" xfId="0" applyFill="1" applyBorder="1"/>
    <xf numFmtId="0" fontId="0" fillId="3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9" xfId="0" applyFill="1" applyBorder="1"/>
    <xf numFmtId="0" fontId="0" fillId="3" borderId="18" xfId="0" applyFill="1" applyBorder="1"/>
    <xf numFmtId="0" fontId="0" fillId="3" borderId="5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16" xfId="0" applyFill="1" applyBorder="1"/>
    <xf numFmtId="0" fontId="0" fillId="5" borderId="0" xfId="0" applyFill="1" applyBorder="1"/>
    <xf numFmtId="0" fontId="0" fillId="4" borderId="7" xfId="0" applyFill="1" applyBorder="1"/>
    <xf numFmtId="9" fontId="5" fillId="4" borderId="7" xfId="4" applyFont="1" applyFill="1" applyBorder="1"/>
    <xf numFmtId="0" fontId="0" fillId="4" borderId="17" xfId="0" applyFill="1" applyBorder="1"/>
    <xf numFmtId="0" fontId="0" fillId="4" borderId="9" xfId="0" applyFill="1" applyBorder="1"/>
    <xf numFmtId="0" fontId="0" fillId="4" borderId="19" xfId="0" applyFill="1" applyBorder="1"/>
    <xf numFmtId="0" fontId="0" fillId="4" borderId="13" xfId="0" applyFill="1" applyBorder="1"/>
    <xf numFmtId="9" fontId="5" fillId="4" borderId="13" xfId="4" applyFont="1" applyFill="1" applyBorder="1"/>
    <xf numFmtId="0" fontId="0" fillId="4" borderId="14" xfId="0" applyFill="1" applyBorder="1"/>
    <xf numFmtId="0" fontId="9" fillId="0" borderId="0" xfId="0" applyFont="1" applyFill="1"/>
    <xf numFmtId="0" fontId="0" fillId="9" borderId="15" xfId="0" applyFont="1" applyFill="1" applyBorder="1"/>
    <xf numFmtId="0" fontId="0" fillId="9" borderId="0" xfId="0" applyFont="1" applyFill="1" applyBorder="1"/>
    <xf numFmtId="0" fontId="0" fillId="9" borderId="0" xfId="0" applyFill="1" applyBorder="1"/>
    <xf numFmtId="0" fontId="0" fillId="9" borderId="16" xfId="0" applyFont="1" applyFill="1" applyBorder="1"/>
    <xf numFmtId="0" fontId="0" fillId="9" borderId="20" xfId="0" applyFont="1" applyFill="1" applyBorder="1"/>
    <xf numFmtId="0" fontId="0" fillId="9" borderId="21" xfId="0" applyFill="1" applyBorder="1"/>
    <xf numFmtId="0" fontId="0" fillId="9" borderId="21" xfId="0" applyFont="1" applyFill="1" applyBorder="1"/>
    <xf numFmtId="0" fontId="0" fillId="9" borderId="15" xfId="0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3" borderId="3" xfId="0" applyFill="1" applyBorder="1"/>
    <xf numFmtId="0" fontId="0" fillId="3" borderId="3" xfId="0" applyFill="1" applyBorder="1" applyAlignment="1">
      <alignment horizontal="left"/>
    </xf>
    <xf numFmtId="0" fontId="0" fillId="10" borderId="22" xfId="0" applyFill="1" applyBorder="1"/>
    <xf numFmtId="0" fontId="0" fillId="3" borderId="8" xfId="0" applyFill="1" applyBorder="1"/>
    <xf numFmtId="9" fontId="5" fillId="3" borderId="11" xfId="4" applyFont="1" applyFill="1" applyBorder="1" applyAlignment="1"/>
    <xf numFmtId="0" fontId="5" fillId="3" borderId="22" xfId="4" applyNumberFormat="1" applyFont="1" applyFill="1" applyBorder="1"/>
    <xf numFmtId="0" fontId="0" fillId="10" borderId="10" xfId="0" applyFill="1" applyBorder="1" applyAlignment="1">
      <alignment wrapText="1"/>
    </xf>
    <xf numFmtId="0" fontId="0" fillId="10" borderId="11" xfId="0" applyFill="1" applyBorder="1" applyAlignment="1">
      <alignment wrapText="1"/>
    </xf>
    <xf numFmtId="0" fontId="0" fillId="3" borderId="10" xfId="0" applyFill="1" applyBorder="1" applyAlignment="1">
      <alignment wrapText="1"/>
    </xf>
    <xf numFmtId="0" fontId="0" fillId="3" borderId="11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12" fillId="0" borderId="21" xfId="0" applyFont="1" applyBorder="1" applyAlignment="1">
      <alignment horizontal="center" vertical="center" wrapText="1"/>
    </xf>
    <xf numFmtId="1" fontId="12" fillId="0" borderId="20" xfId="0" applyNumberFormat="1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Border="1" applyAlignment="1">
      <alignment vertical="center" wrapText="1"/>
    </xf>
    <xf numFmtId="0" fontId="6" fillId="0" borderId="3" xfId="3" applyFont="1" applyFill="1" applyBorder="1"/>
    <xf numFmtId="0" fontId="0" fillId="0" borderId="3" xfId="0" applyFill="1" applyBorder="1"/>
    <xf numFmtId="1" fontId="12" fillId="0" borderId="5" xfId="0" applyNumberFormat="1" applyFont="1" applyBorder="1" applyAlignment="1">
      <alignment horizontal="center" vertical="center" wrapText="1"/>
    </xf>
    <xf numFmtId="0" fontId="0" fillId="0" borderId="3" xfId="0" applyBorder="1"/>
    <xf numFmtId="1" fontId="12" fillId="0" borderId="0" xfId="0" applyNumberFormat="1" applyFont="1" applyBorder="1" applyAlignment="1">
      <alignment horizontal="center" vertical="center" wrapText="1"/>
    </xf>
    <xf numFmtId="0" fontId="12" fillId="0" borderId="5" xfId="0" applyFont="1" applyBorder="1" applyAlignment="1">
      <alignment vertical="center" wrapText="1"/>
    </xf>
    <xf numFmtId="0" fontId="0" fillId="0" borderId="0" xfId="0" applyBorder="1"/>
    <xf numFmtId="2" fontId="6" fillId="0" borderId="0" xfId="3" applyNumberFormat="1"/>
    <xf numFmtId="0" fontId="11" fillId="0" borderId="23" xfId="0" applyFont="1" applyBorder="1" applyAlignment="1">
      <alignment horizontal="center" vertical="center" wrapText="1"/>
    </xf>
    <xf numFmtId="1" fontId="12" fillId="0" borderId="4" xfId="0" applyNumberFormat="1" applyFont="1" applyBorder="1" applyAlignment="1">
      <alignment horizontal="center" vertical="center" wrapText="1"/>
    </xf>
    <xf numFmtId="1" fontId="12" fillId="0" borderId="21" xfId="0" applyNumberFormat="1" applyFont="1" applyBorder="1" applyAlignment="1">
      <alignment horizontal="center" vertical="center" wrapText="1"/>
    </xf>
    <xf numFmtId="9" fontId="12" fillId="0" borderId="5" xfId="0" applyNumberFormat="1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0" fillId="0" borderId="5" xfId="0" applyBorder="1" applyAlignment="1">
      <alignment vertical="top" wrapText="1"/>
    </xf>
    <xf numFmtId="0" fontId="16" fillId="0" borderId="5" xfId="0" applyFont="1" applyBorder="1" applyAlignment="1">
      <alignment horizontal="center" vertical="center" wrapText="1"/>
    </xf>
    <xf numFmtId="1" fontId="0" fillId="0" borderId="18" xfId="0" applyNumberFormat="1" applyFont="1" applyBorder="1" applyAlignment="1">
      <alignment horizontal="center" vertical="center" wrapText="1"/>
    </xf>
    <xf numFmtId="1" fontId="12" fillId="0" borderId="5" xfId="0" applyNumberFormat="1" applyFont="1" applyBorder="1" applyAlignment="1">
      <alignment vertical="center" wrapText="1"/>
    </xf>
    <xf numFmtId="0" fontId="0" fillId="10" borderId="15" xfId="0" applyFill="1" applyBorder="1"/>
    <xf numFmtId="0" fontId="0" fillId="10" borderId="0" xfId="0" applyFill="1" applyBorder="1"/>
    <xf numFmtId="0" fontId="0" fillId="10" borderId="0" xfId="0" applyFill="1" applyBorder="1" applyAlignment="1"/>
    <xf numFmtId="0" fontId="0" fillId="10" borderId="17" xfId="0" applyFill="1" applyBorder="1"/>
    <xf numFmtId="0" fontId="0" fillId="10" borderId="7" xfId="0" applyFill="1" applyBorder="1"/>
    <xf numFmtId="9" fontId="5" fillId="10" borderId="7" xfId="4" applyFont="1" applyFill="1" applyBorder="1"/>
    <xf numFmtId="0" fontId="0" fillId="10" borderId="16" xfId="0" applyFill="1" applyBorder="1"/>
    <xf numFmtId="0" fontId="0" fillId="10" borderId="19" xfId="0" applyFill="1" applyBorder="1"/>
    <xf numFmtId="0" fontId="0" fillId="10" borderId="13" xfId="0" applyFill="1" applyBorder="1"/>
    <xf numFmtId="9" fontId="5" fillId="10" borderId="24" xfId="4" applyFont="1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6" xfId="0" applyFill="1" applyBorder="1" applyAlignment="1">
      <alignment horizontal="center"/>
    </xf>
    <xf numFmtId="0" fontId="0" fillId="4" borderId="27" xfId="0" applyFill="1" applyBorder="1"/>
    <xf numFmtId="2" fontId="0" fillId="0" borderId="0" xfId="0" applyNumberFormat="1"/>
    <xf numFmtId="0" fontId="6" fillId="11" borderId="3" xfId="3" applyFill="1" applyBorder="1"/>
    <xf numFmtId="0" fontId="7" fillId="11" borderId="3" xfId="3" applyFont="1" applyFill="1" applyBorder="1"/>
    <xf numFmtId="0" fontId="7" fillId="11" borderId="3" xfId="3" applyFont="1" applyFill="1" applyBorder="1"/>
    <xf numFmtId="0" fontId="19" fillId="5" borderId="0" xfId="0" applyFont="1" applyFill="1"/>
    <xf numFmtId="0" fontId="19" fillId="0" borderId="0" xfId="0" applyFont="1"/>
    <xf numFmtId="0" fontId="19" fillId="3" borderId="0" xfId="0" applyFont="1" applyFill="1"/>
    <xf numFmtId="0" fontId="19" fillId="0" borderId="0" xfId="0" applyFont="1" applyFill="1"/>
    <xf numFmtId="0" fontId="19" fillId="4" borderId="0" xfId="0" applyFont="1" applyFill="1"/>
    <xf numFmtId="0" fontId="19" fillId="2" borderId="0" xfId="0" applyFont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28" xfId="0" applyFill="1" applyBorder="1" applyAlignment="1">
      <alignment horizontal="center" wrapText="1"/>
    </xf>
    <xf numFmtId="0" fontId="0" fillId="3" borderId="29" xfId="0" applyFill="1" applyBorder="1" applyAlignment="1">
      <alignment horizontal="center" wrapText="1"/>
    </xf>
    <xf numFmtId="0" fontId="0" fillId="4" borderId="30" xfId="0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10" borderId="30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4" borderId="28" xfId="0" applyFill="1" applyBorder="1" applyAlignment="1">
      <alignment horizontal="center" vertical="center" wrapText="1"/>
    </xf>
    <xf numFmtId="0" fontId="0" fillId="4" borderId="29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wrapText="1"/>
    </xf>
    <xf numFmtId="0" fontId="0" fillId="10" borderId="32" xfId="0" applyFill="1" applyBorder="1" applyAlignment="1">
      <alignment horizontal="center" wrapText="1"/>
    </xf>
    <xf numFmtId="0" fontId="0" fillId="3" borderId="11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10" borderId="3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wrapText="1"/>
    </xf>
    <xf numFmtId="0" fontId="0" fillId="10" borderId="29" xfId="0" applyFill="1" applyBorder="1" applyAlignment="1">
      <alignment horizontal="center" wrapText="1"/>
    </xf>
    <xf numFmtId="0" fontId="0" fillId="10" borderId="33" xfId="0" applyFill="1" applyBorder="1" applyAlignment="1">
      <alignment horizontal="left" wrapText="1"/>
    </xf>
    <xf numFmtId="0" fontId="0" fillId="10" borderId="23" xfId="0" applyFill="1" applyBorder="1" applyAlignment="1">
      <alignment horizontal="left" wrapText="1"/>
    </xf>
    <xf numFmtId="0" fontId="0" fillId="10" borderId="0" xfId="0" applyFill="1" applyBorder="1" applyAlignment="1">
      <alignment horizontal="left" wrapText="1"/>
    </xf>
    <xf numFmtId="0" fontId="0" fillId="10" borderId="16" xfId="0" applyFill="1" applyBorder="1" applyAlignment="1">
      <alignment horizontal="left" wrapText="1"/>
    </xf>
    <xf numFmtId="0" fontId="9" fillId="4" borderId="20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7" fillId="9" borderId="20" xfId="0" applyFont="1" applyFill="1" applyBorder="1" applyAlignment="1">
      <alignment horizontal="center"/>
    </xf>
    <xf numFmtId="0" fontId="17" fillId="9" borderId="21" xfId="0" applyFont="1" applyFill="1" applyBorder="1" applyAlignment="1">
      <alignment horizontal="center"/>
    </xf>
    <xf numFmtId="0" fontId="17" fillId="9" borderId="2" xfId="0" applyFont="1" applyFill="1" applyBorder="1" applyAlignment="1">
      <alignment horizontal="center"/>
    </xf>
    <xf numFmtId="0" fontId="0" fillId="9" borderId="33" xfId="0" applyFont="1" applyFill="1" applyBorder="1" applyAlignment="1">
      <alignment horizontal="left"/>
    </xf>
    <xf numFmtId="0" fontId="0" fillId="9" borderId="21" xfId="0" applyFont="1" applyFill="1" applyBorder="1" applyAlignment="1">
      <alignment horizontal="left"/>
    </xf>
    <xf numFmtId="0" fontId="0" fillId="9" borderId="21" xfId="0" applyFont="1" applyFill="1" applyBorder="1" applyAlignment="1">
      <alignment horizontal="right"/>
    </xf>
    <xf numFmtId="0" fontId="0" fillId="9" borderId="2" xfId="0" applyFont="1" applyFill="1" applyBorder="1" applyAlignment="1">
      <alignment horizontal="right"/>
    </xf>
    <xf numFmtId="0" fontId="9" fillId="10" borderId="20" xfId="0" applyFont="1" applyFill="1" applyBorder="1" applyAlignment="1">
      <alignment horizontal="center"/>
    </xf>
    <xf numFmtId="0" fontId="9" fillId="10" borderId="21" xfId="0" applyFont="1" applyFill="1" applyBorder="1" applyAlignment="1">
      <alignment horizontal="center"/>
    </xf>
    <xf numFmtId="0" fontId="9" fillId="10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7" fillId="8" borderId="20" xfId="0" applyFont="1" applyFill="1" applyBorder="1" applyAlignment="1">
      <alignment horizontal="center"/>
    </xf>
    <xf numFmtId="0" fontId="17" fillId="8" borderId="21" xfId="0" applyFont="1" applyFill="1" applyBorder="1" applyAlignment="1">
      <alignment horizontal="center"/>
    </xf>
    <xf numFmtId="0" fontId="17" fillId="8" borderId="2" xfId="0" applyFont="1" applyFill="1" applyBorder="1" applyAlignment="1">
      <alignment horizontal="center"/>
    </xf>
    <xf numFmtId="0" fontId="18" fillId="5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center"/>
    </xf>
    <xf numFmtId="0" fontId="9" fillId="8" borderId="30" xfId="0" applyFont="1" applyFill="1" applyBorder="1" applyAlignment="1">
      <alignment horizontal="center"/>
    </xf>
    <xf numFmtId="0" fontId="9" fillId="8" borderId="31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0" fontId="7" fillId="7" borderId="3" xfId="3" applyFont="1" applyFill="1" applyBorder="1" applyAlignment="1">
      <alignment horizontal="center"/>
    </xf>
    <xf numFmtId="0" fontId="6" fillId="0" borderId="18" xfId="3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6" fillId="7" borderId="6" xfId="3" applyFill="1" applyBorder="1" applyAlignment="1">
      <alignment horizontal="center"/>
    </xf>
    <xf numFmtId="0" fontId="6" fillId="7" borderId="7" xfId="3" applyFill="1" applyBorder="1" applyAlignment="1">
      <alignment horizontal="center"/>
    </xf>
    <xf numFmtId="0" fontId="6" fillId="7" borderId="36" xfId="3" applyFill="1" applyBorder="1" applyAlignment="1">
      <alignment horizontal="center"/>
    </xf>
  </cellXfs>
  <cellStyles count="5">
    <cellStyle name="Normal" xfId="0" builtinId="0"/>
    <cellStyle name="Normal 2" xfId="1"/>
    <cellStyle name="Normal 2 2" xfId="2"/>
    <cellStyle name="Normal 3" xfId="3"/>
    <cellStyle name="Percent" xfId="4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200025</xdr:colOff>
      <xdr:row>3</xdr:row>
      <xdr:rowOff>9525</xdr:rowOff>
    </xdr:to>
    <xdr:pic>
      <xdr:nvPicPr>
        <xdr:cNvPr id="124962" name="Picture 2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40017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190500</xdr:rowOff>
        </xdr:from>
        <xdr:to>
          <xdr:col>3</xdr:col>
          <xdr:colOff>330200</xdr:colOff>
          <xdr:row>6</xdr:row>
          <xdr:rowOff>190500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200025</xdr:colOff>
      <xdr:row>3</xdr:row>
      <xdr:rowOff>9525</xdr:rowOff>
    </xdr:to>
    <xdr:pic>
      <xdr:nvPicPr>
        <xdr:cNvPr id="132100" name="Picture 2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40017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190500</xdr:rowOff>
        </xdr:from>
        <xdr:to>
          <xdr:col>3</xdr:col>
          <xdr:colOff>330200</xdr:colOff>
          <xdr:row>6</xdr:row>
          <xdr:rowOff>190500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200025</xdr:colOff>
      <xdr:row>3</xdr:row>
      <xdr:rowOff>9525</xdr:rowOff>
    </xdr:to>
    <xdr:pic>
      <xdr:nvPicPr>
        <xdr:cNvPr id="133124" name="Picture 2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40017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190500</xdr:rowOff>
        </xdr:from>
        <xdr:to>
          <xdr:col>3</xdr:col>
          <xdr:colOff>330200</xdr:colOff>
          <xdr:row>6</xdr:row>
          <xdr:rowOff>190500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200025</xdr:colOff>
      <xdr:row>3</xdr:row>
      <xdr:rowOff>9525</xdr:rowOff>
    </xdr:to>
    <xdr:pic>
      <xdr:nvPicPr>
        <xdr:cNvPr id="134148" name="Picture 2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40017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190500</xdr:rowOff>
        </xdr:from>
        <xdr:to>
          <xdr:col>3</xdr:col>
          <xdr:colOff>330200</xdr:colOff>
          <xdr:row>6</xdr:row>
          <xdr:rowOff>190500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200025</xdr:colOff>
      <xdr:row>3</xdr:row>
      <xdr:rowOff>9525</xdr:rowOff>
    </xdr:to>
    <xdr:pic>
      <xdr:nvPicPr>
        <xdr:cNvPr id="135173" name="Picture 2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40017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190500</xdr:rowOff>
        </xdr:from>
        <xdr:to>
          <xdr:col>3</xdr:col>
          <xdr:colOff>330200</xdr:colOff>
          <xdr:row>6</xdr:row>
          <xdr:rowOff>190500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/>
  <dimension ref="A1:Z102"/>
  <sheetViews>
    <sheetView workbookViewId="0">
      <selection activeCell="L39" sqref="L39"/>
    </sheetView>
  </sheetViews>
  <sheetFormatPr baseColWidth="10" defaultColWidth="5.1640625" defaultRowHeight="15" x14ac:dyDescent="0"/>
  <cols>
    <col min="1" max="1" width="5.5" customWidth="1"/>
    <col min="3" max="3" width="5.1640625" customWidth="1"/>
    <col min="4" max="4" width="5.6640625" customWidth="1"/>
    <col min="5" max="5" width="6.1640625" customWidth="1"/>
    <col min="6" max="6" width="4.6640625" customWidth="1"/>
    <col min="7" max="7" width="6.6640625" customWidth="1"/>
    <col min="8" max="8" width="6.1640625" customWidth="1"/>
    <col min="10" max="10" width="4.83203125" customWidth="1"/>
    <col min="11" max="11" width="4.1640625" customWidth="1"/>
    <col min="12" max="12" width="5.1640625" customWidth="1"/>
    <col min="13" max="13" width="7.1640625" customWidth="1"/>
    <col min="14" max="14" width="5.83203125" customWidth="1"/>
    <col min="15" max="15" width="4" customWidth="1"/>
    <col min="17" max="17" width="5.1640625" customWidth="1"/>
    <col min="18" max="18" width="4.5" customWidth="1"/>
    <col min="19" max="19" width="4.6640625" customWidth="1"/>
    <col min="21" max="21" width="5.1640625" customWidth="1"/>
    <col min="22" max="22" width="4.6640625" customWidth="1"/>
    <col min="23" max="23" width="7.5" customWidth="1"/>
    <col min="24" max="24" width="11.1640625" hidden="1" customWidth="1"/>
    <col min="25" max="26" width="5.1640625" hidden="1" customWidth="1"/>
  </cols>
  <sheetData>
    <row r="1" spans="1:23" ht="19" thickBot="1">
      <c r="A1" s="25"/>
      <c r="B1" s="25"/>
      <c r="C1" s="25"/>
      <c r="E1" s="185" t="s">
        <v>83</v>
      </c>
      <c r="F1" s="185"/>
      <c r="G1" s="185"/>
      <c r="H1" s="185"/>
      <c r="I1" s="185"/>
      <c r="J1" s="185"/>
      <c r="K1" s="185"/>
      <c r="L1" s="185"/>
      <c r="M1" s="185"/>
      <c r="N1" s="185"/>
      <c r="O1" s="185"/>
      <c r="Q1" s="186" t="s">
        <v>24</v>
      </c>
      <c r="R1" s="187"/>
      <c r="S1" s="187"/>
      <c r="T1" s="187"/>
      <c r="U1" s="187"/>
      <c r="V1" s="187"/>
      <c r="W1" s="188"/>
    </row>
    <row r="2" spans="1:23" ht="18">
      <c r="A2" s="25"/>
      <c r="B2" s="25"/>
      <c r="C2" s="25"/>
      <c r="E2" s="189" t="s">
        <v>84</v>
      </c>
      <c r="F2" s="189"/>
      <c r="G2" s="189"/>
      <c r="H2" s="189"/>
      <c r="I2" s="190" t="s">
        <v>144</v>
      </c>
      <c r="J2" s="190"/>
      <c r="K2" s="190"/>
      <c r="L2" s="190"/>
      <c r="M2" s="190"/>
      <c r="N2" s="190"/>
      <c r="O2" s="190"/>
      <c r="Q2" s="191" t="s">
        <v>80</v>
      </c>
      <c r="R2" s="192"/>
      <c r="S2" s="193" t="s">
        <v>81</v>
      </c>
      <c r="T2" s="194"/>
      <c r="U2" s="194"/>
      <c r="V2" s="194"/>
      <c r="W2" s="195"/>
    </row>
    <row r="3" spans="1:23" ht="16" thickBot="1">
      <c r="F3" s="58"/>
      <c r="G3" s="58"/>
      <c r="H3" s="58"/>
      <c r="I3" s="58"/>
      <c r="Q3" s="29" t="s">
        <v>25</v>
      </c>
      <c r="R3" s="30"/>
      <c r="S3" s="27" t="s">
        <v>31</v>
      </c>
      <c r="T3" s="28"/>
      <c r="U3" s="28"/>
      <c r="V3" s="28"/>
      <c r="W3" s="31"/>
    </row>
    <row r="4" spans="1:23" ht="16" thickBot="1">
      <c r="F4" s="172" t="s">
        <v>85</v>
      </c>
      <c r="G4" s="173"/>
      <c r="H4" s="173"/>
      <c r="I4" s="173"/>
      <c r="J4" s="173"/>
      <c r="K4" s="173"/>
      <c r="L4" s="173"/>
      <c r="M4" s="173"/>
      <c r="N4" s="173"/>
      <c r="O4" s="174"/>
      <c r="Q4" s="29" t="s">
        <v>26</v>
      </c>
      <c r="R4" s="30"/>
      <c r="S4" s="27" t="s">
        <v>30</v>
      </c>
      <c r="T4" s="28"/>
      <c r="U4" s="28"/>
      <c r="V4" s="28"/>
      <c r="W4" s="31"/>
    </row>
    <row r="5" spans="1:23">
      <c r="F5" s="59" t="s">
        <v>12</v>
      </c>
      <c r="G5" s="60"/>
      <c r="H5" s="60"/>
      <c r="I5" s="175">
        <f>E12</f>
        <v>210</v>
      </c>
      <c r="J5" s="175"/>
      <c r="K5" s="60" t="s">
        <v>15</v>
      </c>
      <c r="L5" s="61"/>
      <c r="M5" s="60"/>
      <c r="N5" s="60"/>
      <c r="O5" s="62">
        <f>Q12</f>
        <v>250</v>
      </c>
      <c r="Q5" s="29" t="s">
        <v>27</v>
      </c>
      <c r="R5" s="30"/>
      <c r="S5" s="27" t="s">
        <v>32</v>
      </c>
      <c r="T5" s="28"/>
      <c r="U5" s="28"/>
      <c r="V5" s="28"/>
      <c r="W5" s="31"/>
    </row>
    <row r="6" spans="1:23" ht="16" thickBot="1">
      <c r="F6" s="66"/>
      <c r="G6" s="61"/>
      <c r="H6" s="61"/>
      <c r="I6" s="61"/>
      <c r="J6" s="61"/>
      <c r="K6" s="60" t="s">
        <v>14</v>
      </c>
      <c r="L6" s="60"/>
      <c r="M6" s="60"/>
      <c r="N6" s="61"/>
      <c r="O6" s="62">
        <f>L21</f>
        <v>210</v>
      </c>
      <c r="Q6" s="29" t="s">
        <v>28</v>
      </c>
      <c r="R6" s="30"/>
      <c r="S6" s="27" t="s">
        <v>33</v>
      </c>
      <c r="T6" s="28"/>
      <c r="U6" s="28"/>
      <c r="V6" s="28"/>
      <c r="W6" s="31"/>
    </row>
    <row r="7" spans="1:23" ht="16" thickBot="1">
      <c r="F7" s="63" t="s">
        <v>16</v>
      </c>
      <c r="G7" s="64"/>
      <c r="H7" s="64"/>
      <c r="I7" s="176">
        <f>I5+O5</f>
        <v>460</v>
      </c>
      <c r="J7" s="176"/>
      <c r="K7" s="65" t="s">
        <v>17</v>
      </c>
      <c r="L7" s="64"/>
      <c r="M7" s="64"/>
      <c r="N7" s="177">
        <f>I5+O5+O6</f>
        <v>670</v>
      </c>
      <c r="O7" s="178"/>
      <c r="Q7" s="32" t="s">
        <v>29</v>
      </c>
      <c r="R7" s="33"/>
      <c r="S7" s="34" t="s">
        <v>34</v>
      </c>
      <c r="T7" s="35"/>
      <c r="U7" s="35"/>
      <c r="V7" s="35"/>
      <c r="W7" s="36"/>
    </row>
    <row r="9" spans="1:23" ht="6" customHeight="1" thickBot="1"/>
    <row r="10" spans="1:23" ht="16" thickBot="1">
      <c r="A10" s="179" t="s">
        <v>12</v>
      </c>
      <c r="B10" s="180"/>
      <c r="C10" s="180"/>
      <c r="D10" s="180"/>
      <c r="E10" s="180"/>
      <c r="F10" s="180"/>
      <c r="G10" s="180"/>
      <c r="H10" s="180"/>
      <c r="I10" s="180"/>
      <c r="J10" s="181"/>
      <c r="K10" s="25"/>
      <c r="L10" s="25"/>
      <c r="M10" s="182" t="s">
        <v>82</v>
      </c>
      <c r="N10" s="183"/>
      <c r="O10" s="183"/>
      <c r="P10" s="183"/>
      <c r="Q10" s="183"/>
      <c r="R10" s="183"/>
      <c r="S10" s="183"/>
      <c r="T10" s="183"/>
      <c r="U10" s="183"/>
      <c r="V10" s="184"/>
    </row>
    <row r="11" spans="1:23" ht="15.75" customHeight="1">
      <c r="A11" s="102"/>
      <c r="B11" s="103" t="s">
        <v>35</v>
      </c>
      <c r="C11" s="103" t="s">
        <v>36</v>
      </c>
      <c r="D11" s="103"/>
      <c r="E11" s="103" t="s">
        <v>18</v>
      </c>
      <c r="F11" s="103"/>
      <c r="G11" s="103"/>
      <c r="H11" s="155" t="s">
        <v>42</v>
      </c>
      <c r="I11" s="155"/>
      <c r="J11" s="156"/>
      <c r="K11" s="25"/>
      <c r="L11" s="25"/>
      <c r="M11" s="39"/>
      <c r="N11" s="40" t="s">
        <v>35</v>
      </c>
      <c r="O11" s="40" t="s">
        <v>36</v>
      </c>
      <c r="P11" s="40"/>
      <c r="Q11" s="40" t="s">
        <v>82</v>
      </c>
      <c r="R11" s="40"/>
      <c r="S11" s="40"/>
      <c r="T11" s="40"/>
      <c r="U11" s="40"/>
      <c r="V11" s="41"/>
    </row>
    <row r="12" spans="1:23">
      <c r="A12" s="102"/>
      <c r="B12" s="103">
        <f>SUM(C38:V38,C69:T69,C95:R95)</f>
        <v>0</v>
      </c>
      <c r="C12" s="103">
        <f>ROUND(B12,0)</f>
        <v>0</v>
      </c>
      <c r="D12" s="103"/>
      <c r="E12" s="103">
        <f>VLOOKUP(C12,Tables!A3:D75,3,TRUE)</f>
        <v>210</v>
      </c>
      <c r="F12" s="103"/>
      <c r="G12" s="103"/>
      <c r="H12" s="157"/>
      <c r="I12" s="157"/>
      <c r="J12" s="158"/>
      <c r="K12" s="25"/>
      <c r="L12" s="25"/>
      <c r="M12" s="39"/>
      <c r="N12" s="40">
        <f>SUM(C45:V45,C50:F50,C76:V76,C81:F81,C88:U88)</f>
        <v>0</v>
      </c>
      <c r="O12" s="40">
        <f>ROUND(N12,0)</f>
        <v>0</v>
      </c>
      <c r="P12" s="40"/>
      <c r="Q12" s="40">
        <f>VLOOKUP(O12,Tables!A3:D75,2,TRUE)</f>
        <v>250</v>
      </c>
      <c r="R12" s="40"/>
      <c r="S12" s="40"/>
      <c r="T12" s="40"/>
      <c r="U12" s="40"/>
      <c r="V12" s="41"/>
    </row>
    <row r="13" spans="1:23">
      <c r="A13" s="102" t="s">
        <v>37</v>
      </c>
      <c r="B13" s="103"/>
      <c r="C13" s="103" t="s">
        <v>38</v>
      </c>
      <c r="D13" s="104" t="s">
        <v>39</v>
      </c>
      <c r="E13" s="103"/>
      <c r="F13" s="103" t="s">
        <v>40</v>
      </c>
      <c r="G13" s="103"/>
      <c r="H13" s="157"/>
      <c r="I13" s="157"/>
      <c r="J13" s="158"/>
      <c r="K13" s="25"/>
      <c r="L13" s="25"/>
      <c r="M13" s="112" t="s">
        <v>37</v>
      </c>
      <c r="N13" s="113"/>
      <c r="O13" s="113"/>
      <c r="P13" s="113" t="s">
        <v>38</v>
      </c>
      <c r="Q13" s="113" t="s">
        <v>39</v>
      </c>
      <c r="R13" s="113"/>
      <c r="S13" s="113" t="s">
        <v>40</v>
      </c>
      <c r="T13" s="113"/>
      <c r="U13" s="113" t="s">
        <v>41</v>
      </c>
      <c r="V13" s="114"/>
    </row>
    <row r="14" spans="1:23">
      <c r="A14" s="105" t="s">
        <v>19</v>
      </c>
      <c r="B14" s="106"/>
      <c r="C14" s="106">
        <f>COUNTIF($C$35:$V$35,"g")+COUNTIF($C$66:$T$66,"g")+COUNTIF($C$85:$R$85,"g")</f>
        <v>12</v>
      </c>
      <c r="D14" s="106">
        <v>0</v>
      </c>
      <c r="E14" s="106"/>
      <c r="F14" s="106">
        <v>1</v>
      </c>
      <c r="G14" s="106"/>
      <c r="H14" s="107">
        <f>D14/(F14+D14)</f>
        <v>0</v>
      </c>
      <c r="I14" s="103"/>
      <c r="J14" s="108"/>
      <c r="K14" s="25"/>
      <c r="L14" s="25"/>
      <c r="M14" s="42" t="s">
        <v>44</v>
      </c>
      <c r="N14" s="37"/>
      <c r="O14" s="37"/>
      <c r="P14" s="37">
        <f>COUNTIF($C$42:$V$42,"sc")+COUNTIF($C$47:$F$47,"sc")+COUNTIF($C$73:$V$73,"sc")+COUNTIF($C$78:$F$78,"sc")+COUNTIF($C$92:$U92,"sc")</f>
        <v>19</v>
      </c>
      <c r="Q14" s="37">
        <v>5</v>
      </c>
      <c r="R14" s="37"/>
      <c r="S14" s="37">
        <v>0</v>
      </c>
      <c r="T14" s="37"/>
      <c r="U14" s="38">
        <f>Q14/(S14+Q14)</f>
        <v>1</v>
      </c>
      <c r="V14" s="43"/>
    </row>
    <row r="15" spans="1:23">
      <c r="A15" s="105" t="s">
        <v>20</v>
      </c>
      <c r="B15" s="106"/>
      <c r="C15" s="106">
        <f>COUNTIF($C$35:$V$35,"n")+COUNTIF($C$66:$T$66,"n")+COUNTIF($C$85:$R$85,"n")</f>
        <v>7</v>
      </c>
      <c r="D15" s="106">
        <v>0</v>
      </c>
      <c r="E15" s="106"/>
      <c r="F15" s="106">
        <v>2</v>
      </c>
      <c r="G15" s="106"/>
      <c r="H15" s="107">
        <f>D15/(F15+D15)</f>
        <v>0</v>
      </c>
      <c r="I15" s="103"/>
      <c r="J15" s="108"/>
      <c r="K15" s="25"/>
      <c r="L15" s="25"/>
      <c r="M15" s="42" t="s">
        <v>43</v>
      </c>
      <c r="N15" s="37"/>
      <c r="O15" s="37"/>
      <c r="P15" s="37">
        <f>COUNTIF($C$42:$V$42,"pb")+COUNTIF($C$47:$F$47,"pb")+COUNTIF($C$73:$V$73,"pb")+COUNTIF($C$78:$F$78,"pb")+COUNTIF($C$92:$U92,"pb")</f>
        <v>48</v>
      </c>
      <c r="Q15" s="37">
        <v>15</v>
      </c>
      <c r="R15" s="37"/>
      <c r="S15" s="37">
        <v>0</v>
      </c>
      <c r="T15" s="37"/>
      <c r="U15" s="38">
        <f>Q15/(S15+Q15)</f>
        <v>1</v>
      </c>
      <c r="V15" s="43"/>
    </row>
    <row r="16" spans="1:23">
      <c r="A16" s="105" t="s">
        <v>21</v>
      </c>
      <c r="B16" s="106"/>
      <c r="C16" s="106">
        <f>COUNTIF($C$35:$V$35,"l")+COUNTIF($C$66:$T$66,"l")+COUNTIF($C$85:$R$85,"l")</f>
        <v>3</v>
      </c>
      <c r="D16" s="106">
        <v>0</v>
      </c>
      <c r="E16" s="106"/>
      <c r="F16" s="106">
        <v>1</v>
      </c>
      <c r="G16" s="106"/>
      <c r="H16" s="107">
        <f>D16/(F16+D16)</f>
        <v>0</v>
      </c>
      <c r="I16" s="103"/>
      <c r="J16" s="108"/>
      <c r="K16" s="25"/>
      <c r="L16" s="25"/>
      <c r="M16" s="39"/>
      <c r="N16" s="40"/>
      <c r="O16" s="40"/>
      <c r="P16" s="40"/>
      <c r="Q16" s="40"/>
      <c r="R16" s="40"/>
      <c r="S16" s="40"/>
      <c r="T16" s="40"/>
      <c r="U16" s="40"/>
      <c r="V16" s="41"/>
    </row>
    <row r="17" spans="1:23">
      <c r="A17" s="105" t="s">
        <v>22</v>
      </c>
      <c r="B17" s="106"/>
      <c r="C17" s="106">
        <f>COUNTIF($C$35:$V$35,"a")+COUNTIF($C$66:$T$66,"a")+COUNTIF($C$85:$R$85,"a")</f>
        <v>26</v>
      </c>
      <c r="D17" s="106">
        <v>0</v>
      </c>
      <c r="E17" s="106"/>
      <c r="F17" s="106">
        <v>5</v>
      </c>
      <c r="G17" s="106"/>
      <c r="H17" s="107">
        <f>D17/(F17+D17)</f>
        <v>0</v>
      </c>
      <c r="I17" s="103"/>
      <c r="J17" s="108"/>
      <c r="K17" s="25"/>
      <c r="L17" s="25"/>
      <c r="M17" s="39"/>
      <c r="N17" s="40"/>
      <c r="O17" s="40"/>
      <c r="P17" s="40"/>
      <c r="Q17" s="40"/>
      <c r="R17" s="40"/>
      <c r="S17" s="40"/>
      <c r="T17" s="40"/>
      <c r="U17" s="40"/>
      <c r="V17" s="41"/>
    </row>
    <row r="18" spans="1:23" ht="16" thickBot="1">
      <c r="A18" s="109" t="s">
        <v>23</v>
      </c>
      <c r="B18" s="110"/>
      <c r="C18" s="110">
        <f>COUNTIF($C$35:$V$35,"d")+COUNTIF($C$66:$T$66,"d")+COUNTIF($C$85:$R$85,"d")</f>
        <v>6</v>
      </c>
      <c r="D18" s="110">
        <v>0</v>
      </c>
      <c r="E18" s="110"/>
      <c r="F18" s="110">
        <v>1</v>
      </c>
      <c r="G18" s="110"/>
      <c r="H18" s="111">
        <f>D18/(F18+D18)</f>
        <v>0</v>
      </c>
      <c r="I18" s="103"/>
      <c r="J18" s="108"/>
      <c r="K18" s="25"/>
      <c r="L18" s="25"/>
      <c r="M18" s="39"/>
      <c r="N18" s="40"/>
      <c r="O18" s="40"/>
      <c r="P18" s="40"/>
      <c r="Q18" s="40"/>
      <c r="R18" s="40"/>
      <c r="S18" s="40"/>
      <c r="T18" s="44"/>
      <c r="U18" s="44"/>
      <c r="V18" s="45"/>
    </row>
    <row r="19" spans="1:23" ht="16" thickBot="1">
      <c r="H19" s="159" t="s">
        <v>14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1"/>
    </row>
    <row r="20" spans="1:23">
      <c r="H20" s="46"/>
      <c r="I20" s="47" t="s">
        <v>35</v>
      </c>
      <c r="J20" s="47" t="s">
        <v>36</v>
      </c>
      <c r="K20" s="47"/>
      <c r="L20" s="47" t="s">
        <v>63</v>
      </c>
      <c r="M20" s="47"/>
      <c r="N20" s="47"/>
      <c r="O20" s="47" t="s">
        <v>76</v>
      </c>
      <c r="P20" s="47"/>
      <c r="Q20" s="47"/>
      <c r="R20" s="47"/>
      <c r="S20" s="48"/>
    </row>
    <row r="21" spans="1:23">
      <c r="H21" s="46"/>
      <c r="I21" s="47">
        <f>SUM(C57:V57,C62:Q62,C102:P102)</f>
        <v>-3.5</v>
      </c>
      <c r="J21" s="47">
        <f>ROUND(I21,0)</f>
        <v>-4</v>
      </c>
      <c r="K21" s="47"/>
      <c r="L21" s="47">
        <f>INDEX(Tables!F12:R74, MATCH(J21,Tables!F12:F74,0), MATCH(O21,Tables!F12:R12,0))</f>
        <v>210</v>
      </c>
      <c r="M21" s="47"/>
      <c r="N21" s="47"/>
      <c r="O21" s="49">
        <v>6</v>
      </c>
      <c r="P21" s="47"/>
      <c r="Q21" s="47"/>
      <c r="R21" s="47"/>
      <c r="S21" s="48"/>
    </row>
    <row r="22" spans="1:23">
      <c r="H22" s="115" t="s">
        <v>37</v>
      </c>
      <c r="I22" s="116"/>
      <c r="J22" s="116"/>
      <c r="K22" s="116"/>
      <c r="L22" s="116"/>
      <c r="M22" s="117" t="s">
        <v>38</v>
      </c>
      <c r="N22" s="116" t="s">
        <v>39</v>
      </c>
      <c r="O22" s="116"/>
      <c r="P22" s="116" t="s">
        <v>40</v>
      </c>
      <c r="Q22" s="116"/>
      <c r="R22" s="116" t="s">
        <v>41</v>
      </c>
      <c r="S22" s="118"/>
    </row>
    <row r="23" spans="1:23">
      <c r="H23" s="52" t="s">
        <v>45</v>
      </c>
      <c r="I23" s="50"/>
      <c r="J23" s="50"/>
      <c r="K23" s="50"/>
      <c r="L23" s="50"/>
      <c r="M23" s="50">
        <f>COUNTIF($C$54:$V$54,"is")+COUNTIF($C$59:$Q$59,"is")+COUNTIF($C$99:$P$99,"is")</f>
        <v>25</v>
      </c>
      <c r="N23" s="50">
        <v>0</v>
      </c>
      <c r="O23" s="50"/>
      <c r="P23" s="50">
        <v>25</v>
      </c>
      <c r="Q23" s="50"/>
      <c r="R23" s="51">
        <f>N23/(P23+N23)</f>
        <v>0</v>
      </c>
      <c r="S23" s="53"/>
    </row>
    <row r="24" spans="1:23">
      <c r="H24" s="52" t="s">
        <v>46</v>
      </c>
      <c r="I24" s="50"/>
      <c r="J24" s="50"/>
      <c r="K24" s="50"/>
      <c r="L24" s="50"/>
      <c r="M24" s="50">
        <f>COUNTIF($C$54:$V$54,"ip")+COUNTIF($C$59:$Q$59,"ip")+COUNTIF($C$99:$P$99,"ip")</f>
        <v>6</v>
      </c>
      <c r="N24" s="50">
        <v>0</v>
      </c>
      <c r="O24" s="50"/>
      <c r="P24" s="50">
        <v>6</v>
      </c>
      <c r="Q24" s="50"/>
      <c r="R24" s="51">
        <f>N24/(P24+N24)</f>
        <v>0</v>
      </c>
      <c r="S24" s="53"/>
    </row>
    <row r="25" spans="1:23" ht="16" thickBot="1">
      <c r="H25" s="54" t="s">
        <v>47</v>
      </c>
      <c r="I25" s="55"/>
      <c r="J25" s="55"/>
      <c r="K25" s="55"/>
      <c r="L25" s="55"/>
      <c r="M25" s="55">
        <f>COUNTIF($C$54:$V$54,"ise")+COUNTIF($C$59:$Q$59,"ise")+COUNTIF($C$99:$P$99,"ise")</f>
        <v>18</v>
      </c>
      <c r="N25" s="55">
        <v>0</v>
      </c>
      <c r="O25" s="55"/>
      <c r="P25" s="55">
        <v>18</v>
      </c>
      <c r="Q25" s="55"/>
      <c r="R25" s="56">
        <f>N25/(P25+N25)</f>
        <v>0</v>
      </c>
      <c r="S25" s="57"/>
    </row>
    <row r="26" spans="1:23" ht="4.5" customHeight="1"/>
    <row r="27" spans="1:23" ht="16" thickBot="1">
      <c r="A27" s="162" t="s">
        <v>86</v>
      </c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spans="1:23" ht="15.75" customHeight="1" thickBot="1">
      <c r="A28" s="163" t="s">
        <v>12</v>
      </c>
      <c r="B28" s="164"/>
      <c r="C28" s="164"/>
      <c r="D28" s="164"/>
      <c r="E28" s="165"/>
      <c r="F28" s="67"/>
      <c r="G28" s="166" t="s">
        <v>82</v>
      </c>
      <c r="H28" s="167"/>
      <c r="I28" s="167"/>
      <c r="J28" s="167"/>
      <c r="K28" s="167"/>
      <c r="L28" s="167"/>
      <c r="M28" s="167"/>
      <c r="N28" s="168"/>
      <c r="O28" s="68"/>
      <c r="P28" s="169" t="s">
        <v>14</v>
      </c>
      <c r="Q28" s="170"/>
      <c r="R28" s="170"/>
      <c r="S28" s="170"/>
      <c r="T28" s="170"/>
      <c r="U28" s="170"/>
      <c r="V28" s="170"/>
      <c r="W28" s="171"/>
    </row>
    <row r="29" spans="1:23" ht="15.75" customHeight="1">
      <c r="A29" s="138" t="s">
        <v>87</v>
      </c>
      <c r="B29" s="151" t="s">
        <v>88</v>
      </c>
      <c r="C29" s="151"/>
      <c r="D29" s="151" t="s">
        <v>89</v>
      </c>
      <c r="E29" s="153" t="s">
        <v>70</v>
      </c>
      <c r="F29" s="67"/>
      <c r="G29" s="140" t="s">
        <v>90</v>
      </c>
      <c r="H29" s="141"/>
      <c r="I29" s="141"/>
      <c r="J29" s="141" t="s">
        <v>43</v>
      </c>
      <c r="K29" s="141"/>
      <c r="L29" s="141"/>
      <c r="M29" s="141"/>
      <c r="N29" s="132" t="s">
        <v>70</v>
      </c>
      <c r="O29" s="68"/>
      <c r="P29" s="134" t="s">
        <v>91</v>
      </c>
      <c r="Q29" s="135"/>
      <c r="R29" s="135" t="s">
        <v>92</v>
      </c>
      <c r="S29" s="135"/>
      <c r="T29" s="135"/>
      <c r="U29" s="135" t="s">
        <v>93</v>
      </c>
      <c r="V29" s="135" t="s">
        <v>70</v>
      </c>
      <c r="W29" s="142"/>
    </row>
    <row r="30" spans="1:23" ht="14.25" customHeight="1">
      <c r="A30" s="139"/>
      <c r="B30" s="152"/>
      <c r="C30" s="152"/>
      <c r="D30" s="152"/>
      <c r="E30" s="154"/>
      <c r="F30" s="67"/>
      <c r="G30" s="72" t="s">
        <v>94</v>
      </c>
      <c r="H30" s="69" t="s">
        <v>95</v>
      </c>
      <c r="I30" s="69" t="s">
        <v>96</v>
      </c>
      <c r="J30" s="70" t="s">
        <v>97</v>
      </c>
      <c r="K30" s="69"/>
      <c r="L30" s="69"/>
      <c r="M30" s="69" t="s">
        <v>98</v>
      </c>
      <c r="N30" s="133"/>
      <c r="O30" s="68"/>
      <c r="P30" s="136"/>
      <c r="Q30" s="137"/>
      <c r="R30" s="137"/>
      <c r="S30" s="137"/>
      <c r="T30" s="137"/>
      <c r="U30" s="137"/>
      <c r="V30" s="137"/>
      <c r="W30" s="143"/>
    </row>
    <row r="31" spans="1:23" ht="44.25" customHeight="1" thickBot="1">
      <c r="A31" s="75">
        <f>VLOOKUP(I5,Tables!H1:L9,4,TRUE)</f>
        <v>9</v>
      </c>
      <c r="B31" s="144" t="str">
        <f>VLOOKUP(I5,Tables!H1:L9,3,TRUE)</f>
        <v>4 MC, 5 GI</v>
      </c>
      <c r="C31" s="145"/>
      <c r="D31" s="76">
        <f>VLOOKUP(I5,Tables!H1:L9,2,TRUE)</f>
        <v>11</v>
      </c>
      <c r="E31" s="71">
        <f>VLOOKUP(I5,Tables!H1:L9,5,TRUE)</f>
        <v>530</v>
      </c>
      <c r="F31" s="67"/>
      <c r="G31" s="77">
        <f>VLOOKUP(Z48,Tables!A79:E87,2,TRUE)</f>
        <v>4</v>
      </c>
      <c r="H31" s="78">
        <f>VLOOKUP(Z48,Tables!A79:E87,3,TRUE)</f>
        <v>3</v>
      </c>
      <c r="I31" s="78">
        <f>VLOOKUP(Z48,Tables!A79:E87,4,TRUE)</f>
        <v>3</v>
      </c>
      <c r="J31" s="146" t="str">
        <f>VLOOKUP(Y48,Tables!G79:K87,3,TRUE)</f>
        <v>26 of 48</v>
      </c>
      <c r="K31" s="146"/>
      <c r="L31" s="146"/>
      <c r="M31" s="73">
        <f>VLOOKUP(Y48,Tables!G79:K87,4,TRUE)</f>
        <v>0.54</v>
      </c>
      <c r="N31" s="74">
        <f>VLOOKUP(Y48,Tables!G79:K87,5,TRUE)</f>
        <v>530</v>
      </c>
      <c r="O31" s="68"/>
      <c r="P31" s="147">
        <f>VLOOKUP(O6,Tables!M79:Q89,2,TRUE)</f>
        <v>7</v>
      </c>
      <c r="Q31" s="148"/>
      <c r="R31" s="148" t="str">
        <f>VLOOKUP(O6,Tables!M79:Q89,3,TRUE)</f>
        <v>12-22, 3 of #30-35</v>
      </c>
      <c r="S31" s="148"/>
      <c r="T31" s="148"/>
      <c r="U31" s="79">
        <f>VLOOKUP(O6,Tables!M79:Q89,4,TRUE)</f>
        <v>8</v>
      </c>
      <c r="V31" s="149">
        <f>VLOOKUP(O6,Tables!M79:Q89,5,TRUE)</f>
        <v>530</v>
      </c>
      <c r="W31" s="150"/>
    </row>
    <row r="32" spans="1:23">
      <c r="A32" s="9" t="s">
        <v>0</v>
      </c>
      <c r="B32" s="1"/>
      <c r="C32" s="9" t="s">
        <v>77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6">
      <c r="A34" s="1" t="s">
        <v>1</v>
      </c>
      <c r="B34" s="1"/>
      <c r="C34" s="24">
        <v>1</v>
      </c>
      <c r="D34" s="24">
        <v>2</v>
      </c>
      <c r="E34" s="24">
        <v>3</v>
      </c>
      <c r="F34" s="24">
        <v>4</v>
      </c>
      <c r="G34" s="24">
        <v>5</v>
      </c>
      <c r="H34" s="24">
        <v>6</v>
      </c>
      <c r="I34" s="24">
        <v>7</v>
      </c>
      <c r="J34" s="24">
        <v>8</v>
      </c>
      <c r="K34" s="24">
        <v>9</v>
      </c>
      <c r="L34" s="24">
        <v>10</v>
      </c>
      <c r="M34" s="24">
        <v>11</v>
      </c>
      <c r="N34" s="24">
        <v>12</v>
      </c>
      <c r="O34" s="24">
        <v>13</v>
      </c>
      <c r="P34" s="24">
        <v>14</v>
      </c>
      <c r="Q34" s="24">
        <v>15</v>
      </c>
      <c r="R34" s="24">
        <v>16</v>
      </c>
      <c r="S34" s="24">
        <v>17</v>
      </c>
      <c r="T34" s="24">
        <v>18</v>
      </c>
      <c r="U34" s="24">
        <v>19</v>
      </c>
      <c r="V34" s="24">
        <v>20</v>
      </c>
    </row>
    <row r="35" spans="1:26" ht="15" customHeight="1">
      <c r="A35" s="1" t="s">
        <v>2</v>
      </c>
      <c r="B35" s="1"/>
      <c r="C35" s="18" t="s">
        <v>50</v>
      </c>
      <c r="D35" s="18" t="s">
        <v>54</v>
      </c>
      <c r="E35" s="18" t="s">
        <v>55</v>
      </c>
      <c r="F35" s="18" t="s">
        <v>56</v>
      </c>
      <c r="G35" s="18" t="s">
        <v>50</v>
      </c>
      <c r="H35" s="18" t="s">
        <v>50</v>
      </c>
      <c r="I35" s="18" t="s">
        <v>50</v>
      </c>
      <c r="J35" s="18" t="s">
        <v>50</v>
      </c>
      <c r="K35" s="18" t="s">
        <v>50</v>
      </c>
      <c r="L35" s="18" t="s">
        <v>56</v>
      </c>
      <c r="M35" s="18" t="s">
        <v>50</v>
      </c>
      <c r="N35" s="18" t="s">
        <v>52</v>
      </c>
      <c r="O35" s="18" t="s">
        <v>50</v>
      </c>
      <c r="P35" s="18" t="s">
        <v>56</v>
      </c>
      <c r="Q35" s="18" t="s">
        <v>50</v>
      </c>
      <c r="R35" s="18" t="s">
        <v>50</v>
      </c>
      <c r="S35" s="18" t="s">
        <v>52</v>
      </c>
      <c r="T35" s="18" t="s">
        <v>56</v>
      </c>
      <c r="U35" s="18" t="s">
        <v>50</v>
      </c>
      <c r="V35" s="18" t="s">
        <v>54</v>
      </c>
    </row>
    <row r="36" spans="1:26" ht="15.75" customHeight="1">
      <c r="A36" s="1" t="s">
        <v>3</v>
      </c>
      <c r="B36" s="1"/>
      <c r="C36" s="1" t="s">
        <v>48</v>
      </c>
      <c r="D36" s="1" t="s">
        <v>48</v>
      </c>
      <c r="E36" s="1" t="s">
        <v>49</v>
      </c>
      <c r="F36" s="1" t="s">
        <v>50</v>
      </c>
      <c r="G36" s="1" t="s">
        <v>51</v>
      </c>
      <c r="H36" s="1" t="s">
        <v>48</v>
      </c>
      <c r="I36" s="1" t="s">
        <v>51</v>
      </c>
      <c r="J36" s="1" t="s">
        <v>50</v>
      </c>
      <c r="K36" s="1" t="s">
        <v>49</v>
      </c>
      <c r="L36" s="1" t="s">
        <v>48</v>
      </c>
      <c r="M36" s="1" t="s">
        <v>48</v>
      </c>
      <c r="N36" s="1" t="s">
        <v>48</v>
      </c>
      <c r="O36" s="1" t="s">
        <v>52</v>
      </c>
      <c r="P36" s="1" t="s">
        <v>48</v>
      </c>
      <c r="Q36" s="1" t="s">
        <v>51</v>
      </c>
      <c r="R36" s="1" t="s">
        <v>52</v>
      </c>
      <c r="S36" s="1" t="s">
        <v>50</v>
      </c>
      <c r="T36" s="1" t="s">
        <v>51</v>
      </c>
      <c r="U36" s="1" t="s">
        <v>48</v>
      </c>
      <c r="V36" s="1" t="s">
        <v>50</v>
      </c>
    </row>
    <row r="37" spans="1:26" ht="14.25" customHeight="1">
      <c r="A37" s="129" t="s">
        <v>4</v>
      </c>
      <c r="B37" s="129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Y37" t="s">
        <v>140</v>
      </c>
      <c r="Z37" t="s">
        <v>141</v>
      </c>
    </row>
    <row r="38" spans="1:26" ht="14.25" hidden="1" customHeight="1">
      <c r="A38" s="1" t="s">
        <v>53</v>
      </c>
      <c r="B38" s="1"/>
      <c r="C38" s="1">
        <f>IF(C37="",0,IF(C37=C36,1,-0.25))</f>
        <v>0</v>
      </c>
      <c r="D38" s="1">
        <f t="shared" ref="D38:V38" si="0">IF(D37="",0,IF(D37=D36,1,-0.25))</f>
        <v>0</v>
      </c>
      <c r="E38" s="1">
        <f t="shared" si="0"/>
        <v>0</v>
      </c>
      <c r="F38" s="1">
        <f t="shared" si="0"/>
        <v>0</v>
      </c>
      <c r="G38" s="1">
        <f t="shared" si="0"/>
        <v>0</v>
      </c>
      <c r="H38" s="1">
        <f t="shared" si="0"/>
        <v>0</v>
      </c>
      <c r="I38" s="1">
        <f t="shared" si="0"/>
        <v>0</v>
      </c>
      <c r="J38" s="1">
        <f t="shared" si="0"/>
        <v>0</v>
      </c>
      <c r="K38" s="1">
        <f t="shared" si="0"/>
        <v>0</v>
      </c>
      <c r="L38" s="1">
        <f t="shared" si="0"/>
        <v>0</v>
      </c>
      <c r="M38" s="1">
        <f t="shared" si="0"/>
        <v>0</v>
      </c>
      <c r="N38" s="1">
        <f t="shared" si="0"/>
        <v>0</v>
      </c>
      <c r="O38" s="1">
        <f t="shared" si="0"/>
        <v>0</v>
      </c>
      <c r="P38" s="1">
        <f t="shared" si="0"/>
        <v>0</v>
      </c>
      <c r="Q38" s="1">
        <f t="shared" si="0"/>
        <v>0</v>
      </c>
      <c r="R38" s="1">
        <f t="shared" si="0"/>
        <v>0</v>
      </c>
      <c r="S38" s="1">
        <f t="shared" si="0"/>
        <v>0</v>
      </c>
      <c r="T38" s="1">
        <f t="shared" si="0"/>
        <v>0</v>
      </c>
      <c r="U38" s="1">
        <f t="shared" si="0"/>
        <v>0</v>
      </c>
      <c r="V38" s="1">
        <f t="shared" si="0"/>
        <v>0</v>
      </c>
    </row>
    <row r="39" spans="1:26" ht="14.25" customHeight="1">
      <c r="A39" s="8" t="s">
        <v>5</v>
      </c>
      <c r="B39" s="2"/>
      <c r="C39" s="8" t="s">
        <v>78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Y39">
        <f>SUMIF(C42:V42,"=pb",C45:V45)</f>
        <v>0</v>
      </c>
      <c r="Z39" s="119">
        <f>SUMIF(C42:V42,"=sc",C45:V45)</f>
        <v>0</v>
      </c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Y40">
        <f>SUMIF(C47:F47,"=pb",C50:F50)</f>
        <v>0</v>
      </c>
      <c r="Z40">
        <f>SUMIF(C47:F47,"=sc",C50:F50)</f>
        <v>0</v>
      </c>
    </row>
    <row r="41" spans="1:26">
      <c r="A41" s="2" t="s">
        <v>1</v>
      </c>
      <c r="B41" s="2"/>
      <c r="C41" s="23">
        <v>1</v>
      </c>
      <c r="D41" s="23">
        <v>2</v>
      </c>
      <c r="E41" s="23">
        <v>3</v>
      </c>
      <c r="F41" s="23">
        <v>4</v>
      </c>
      <c r="G41" s="23">
        <v>5</v>
      </c>
      <c r="H41" s="23">
        <v>6</v>
      </c>
      <c r="I41" s="23">
        <v>7</v>
      </c>
      <c r="J41" s="23">
        <v>8</v>
      </c>
      <c r="K41" s="23">
        <v>9</v>
      </c>
      <c r="L41" s="23">
        <v>10</v>
      </c>
      <c r="M41" s="23">
        <v>11</v>
      </c>
      <c r="N41" s="23">
        <v>12</v>
      </c>
      <c r="O41" s="23">
        <v>13</v>
      </c>
      <c r="P41" s="23">
        <v>14</v>
      </c>
      <c r="Q41" s="23">
        <v>15</v>
      </c>
      <c r="R41" s="23">
        <v>16</v>
      </c>
      <c r="S41" s="23">
        <v>17</v>
      </c>
      <c r="T41" s="23">
        <v>18</v>
      </c>
      <c r="U41" s="23">
        <v>19</v>
      </c>
      <c r="V41" s="23">
        <v>20</v>
      </c>
      <c r="Y41">
        <f>SUMIF(C73:V73,"=pb",C76:V76)</f>
        <v>0</v>
      </c>
      <c r="Z41">
        <f>SUMIF(C73:V73,"=sc",C76:V76)</f>
        <v>0</v>
      </c>
    </row>
    <row r="42" spans="1:26">
      <c r="A42" s="2" t="s">
        <v>2</v>
      </c>
      <c r="B42" s="2"/>
      <c r="C42" s="19" t="s">
        <v>57</v>
      </c>
      <c r="D42" s="19" t="s">
        <v>57</v>
      </c>
      <c r="E42" s="19" t="s">
        <v>57</v>
      </c>
      <c r="F42" s="19" t="s">
        <v>57</v>
      </c>
      <c r="G42" s="19" t="s">
        <v>57</v>
      </c>
      <c r="H42" s="19" t="s">
        <v>58</v>
      </c>
      <c r="I42" s="19" t="s">
        <v>58</v>
      </c>
      <c r="J42" s="19" t="s">
        <v>58</v>
      </c>
      <c r="K42" s="19" t="s">
        <v>58</v>
      </c>
      <c r="L42" s="19" t="s">
        <v>58</v>
      </c>
      <c r="M42" s="19" t="s">
        <v>58</v>
      </c>
      <c r="N42" s="19" t="s">
        <v>58</v>
      </c>
      <c r="O42" s="19" t="s">
        <v>58</v>
      </c>
      <c r="P42" s="19" t="s">
        <v>58</v>
      </c>
      <c r="Q42" s="19" t="s">
        <v>58</v>
      </c>
      <c r="R42" s="19" t="s">
        <v>58</v>
      </c>
      <c r="S42" s="19" t="s">
        <v>58</v>
      </c>
      <c r="T42" s="19" t="s">
        <v>58</v>
      </c>
      <c r="U42" s="19" t="s">
        <v>58</v>
      </c>
      <c r="V42" s="19" t="s">
        <v>58</v>
      </c>
      <c r="Y42">
        <f>SUMIF(C78:F78,"=pb",C81:F81)</f>
        <v>0</v>
      </c>
      <c r="Z42">
        <f>SUMIF(C78:F78,"=sc",C81:F81)</f>
        <v>0</v>
      </c>
    </row>
    <row r="43" spans="1:26">
      <c r="A43" s="2" t="s">
        <v>3</v>
      </c>
      <c r="B43" s="2"/>
      <c r="C43" s="2" t="s">
        <v>49</v>
      </c>
      <c r="D43" s="2" t="s">
        <v>50</v>
      </c>
      <c r="E43" s="2" t="s">
        <v>51</v>
      </c>
      <c r="F43" s="2" t="s">
        <v>50</v>
      </c>
      <c r="G43" s="2" t="s">
        <v>50</v>
      </c>
      <c r="H43" s="2" t="s">
        <v>49</v>
      </c>
      <c r="I43" s="2" t="s">
        <v>49</v>
      </c>
      <c r="J43" s="2" t="s">
        <v>48</v>
      </c>
      <c r="K43" s="2" t="s">
        <v>48</v>
      </c>
      <c r="L43" s="2" t="s">
        <v>50</v>
      </c>
      <c r="M43" s="2" t="s">
        <v>52</v>
      </c>
      <c r="N43" s="2" t="s">
        <v>48</v>
      </c>
      <c r="O43" s="2" t="s">
        <v>49</v>
      </c>
      <c r="P43" s="2" t="s">
        <v>52</v>
      </c>
      <c r="Q43" s="2" t="s">
        <v>48</v>
      </c>
      <c r="R43" s="2" t="s">
        <v>51</v>
      </c>
      <c r="S43" s="2" t="s">
        <v>49</v>
      </c>
      <c r="T43" s="2" t="s">
        <v>50</v>
      </c>
      <c r="U43" s="2" t="s">
        <v>52</v>
      </c>
      <c r="V43" s="2" t="s">
        <v>48</v>
      </c>
      <c r="Y43">
        <f>SUMIF(C85:U85,"=pb",C88:U88)</f>
        <v>0</v>
      </c>
      <c r="Z43">
        <f>SUMIF(C85:U85,"=sc",C88:U88)</f>
        <v>0</v>
      </c>
    </row>
    <row r="44" spans="1:26">
      <c r="A44" s="130" t="s">
        <v>4</v>
      </c>
      <c r="B44" s="130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spans="1:26" hidden="1">
      <c r="A45" s="2" t="s">
        <v>53</v>
      </c>
      <c r="B45" s="2"/>
      <c r="C45" s="2">
        <f>IF(C44="",0,IF(C44=C43,1,-0.25))</f>
        <v>0</v>
      </c>
      <c r="D45" s="2">
        <f t="shared" ref="D45:V45" si="1">IF(D44="",0,IF(D44=D43,1,-0.25))</f>
        <v>0</v>
      </c>
      <c r="E45" s="2">
        <f t="shared" si="1"/>
        <v>0</v>
      </c>
      <c r="F45" s="2">
        <f t="shared" si="1"/>
        <v>0</v>
      </c>
      <c r="G45" s="2">
        <f t="shared" si="1"/>
        <v>0</v>
      </c>
      <c r="H45" s="2">
        <f t="shared" si="1"/>
        <v>0</v>
      </c>
      <c r="I45" s="2">
        <f t="shared" si="1"/>
        <v>0</v>
      </c>
      <c r="J45" s="2">
        <f t="shared" si="1"/>
        <v>0</v>
      </c>
      <c r="K45" s="2">
        <f t="shared" si="1"/>
        <v>0</v>
      </c>
      <c r="L45" s="2">
        <f t="shared" si="1"/>
        <v>0</v>
      </c>
      <c r="M45" s="2">
        <f t="shared" si="1"/>
        <v>0</v>
      </c>
      <c r="N45" s="2">
        <f t="shared" si="1"/>
        <v>0</v>
      </c>
      <c r="O45" s="2">
        <f t="shared" si="1"/>
        <v>0</v>
      </c>
      <c r="P45" s="2">
        <f t="shared" si="1"/>
        <v>0</v>
      </c>
      <c r="Q45" s="2">
        <f t="shared" si="1"/>
        <v>0</v>
      </c>
      <c r="R45" s="2">
        <f t="shared" si="1"/>
        <v>0</v>
      </c>
      <c r="S45" s="2">
        <f t="shared" si="1"/>
        <v>0</v>
      </c>
      <c r="T45" s="2">
        <f t="shared" si="1"/>
        <v>0</v>
      </c>
      <c r="U45" s="2">
        <f t="shared" si="1"/>
        <v>0</v>
      </c>
      <c r="V45" s="2">
        <f t="shared" si="1"/>
        <v>0</v>
      </c>
      <c r="X45" s="25" t="s">
        <v>35</v>
      </c>
      <c r="Y45">
        <f>SUM(Y39:Y43)</f>
        <v>0</v>
      </c>
      <c r="Z45" s="119">
        <f>SUM(Z39:Z43)</f>
        <v>0</v>
      </c>
    </row>
    <row r="46" spans="1:26">
      <c r="A46" s="2"/>
      <c r="B46" s="2"/>
      <c r="C46" s="23">
        <v>21</v>
      </c>
      <c r="D46" s="23">
        <v>22</v>
      </c>
      <c r="E46" s="23">
        <v>23</v>
      </c>
      <c r="F46" s="23">
        <v>24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X46" t="s">
        <v>142</v>
      </c>
      <c r="Y46">
        <f>Y45*1.396</f>
        <v>0</v>
      </c>
      <c r="Z46">
        <f>Z45*(67/19)</f>
        <v>0</v>
      </c>
    </row>
    <row r="47" spans="1:26">
      <c r="A47" s="2"/>
      <c r="B47" s="2"/>
      <c r="C47" s="19" t="s">
        <v>58</v>
      </c>
      <c r="D47" s="19" t="s">
        <v>58</v>
      </c>
      <c r="E47" s="19" t="s">
        <v>58</v>
      </c>
      <c r="F47" s="19" t="s">
        <v>58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X47" t="s">
        <v>36</v>
      </c>
      <c r="Y47">
        <f>ROUND(Y46,0)</f>
        <v>0</v>
      </c>
      <c r="Z47">
        <f>ROUND(Z46,0)</f>
        <v>0</v>
      </c>
    </row>
    <row r="48" spans="1:26">
      <c r="A48" s="2"/>
      <c r="B48" s="2"/>
      <c r="C48" s="2" t="s">
        <v>49</v>
      </c>
      <c r="D48" s="2" t="s">
        <v>49</v>
      </c>
      <c r="E48" s="2" t="s">
        <v>49</v>
      </c>
      <c r="F48" s="2" t="s">
        <v>51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X48" t="s">
        <v>143</v>
      </c>
      <c r="Y48">
        <f>VLOOKUP(Y47,Tables!A3:D75,2,FALSE)</f>
        <v>250</v>
      </c>
      <c r="Z48">
        <f>VLOOKUP(Z47,Tables!A3:D75,2,TRUE)</f>
        <v>250</v>
      </c>
    </row>
    <row r="49" spans="1:25">
      <c r="A49" s="2"/>
      <c r="B49" s="2"/>
      <c r="C49" s="5"/>
      <c r="D49" s="5"/>
      <c r="E49" s="5"/>
      <c r="F49" s="5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5" hidden="1">
      <c r="A50" s="2" t="s">
        <v>53</v>
      </c>
      <c r="B50" s="2"/>
      <c r="C50" s="2">
        <f>IF(C49="",0,IF(C49=C48,1,-0.25))</f>
        <v>0</v>
      </c>
      <c r="D50" s="2">
        <f>IF(D49="",0,IF(D49=D48,1,-0.25))</f>
        <v>0</v>
      </c>
      <c r="E50" s="2">
        <f>IF(E49="",0,IF(E49=E48,1,-0.25))</f>
        <v>0</v>
      </c>
      <c r="F50" s="2">
        <f>IF(F49="",0,IF(F49=F48,1,-0.25))</f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5">
      <c r="A51" s="7" t="s">
        <v>6</v>
      </c>
      <c r="B51" s="3"/>
      <c r="C51" s="7" t="s">
        <v>79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5">
      <c r="A53" s="3" t="s">
        <v>1</v>
      </c>
      <c r="B53" s="3"/>
      <c r="C53" s="22">
        <v>1</v>
      </c>
      <c r="D53" s="22">
        <v>2</v>
      </c>
      <c r="E53" s="22">
        <v>3</v>
      </c>
      <c r="F53" s="22">
        <v>4</v>
      </c>
      <c r="G53" s="22">
        <v>5</v>
      </c>
      <c r="H53" s="22">
        <v>6</v>
      </c>
      <c r="I53" s="22">
        <v>7</v>
      </c>
      <c r="J53" s="22">
        <v>8</v>
      </c>
      <c r="K53" s="22">
        <v>9</v>
      </c>
      <c r="L53" s="22">
        <v>10</v>
      </c>
      <c r="M53" s="22">
        <v>11</v>
      </c>
      <c r="N53" s="22">
        <v>12</v>
      </c>
      <c r="O53" s="22">
        <v>13</v>
      </c>
      <c r="P53" s="22">
        <v>14</v>
      </c>
      <c r="Q53" s="22">
        <v>15</v>
      </c>
      <c r="R53" s="22">
        <v>16</v>
      </c>
      <c r="S53" s="22">
        <v>17</v>
      </c>
      <c r="T53" s="22">
        <v>18</v>
      </c>
      <c r="U53" s="22">
        <v>19</v>
      </c>
      <c r="V53" s="22">
        <v>20</v>
      </c>
    </row>
    <row r="54" spans="1:25">
      <c r="A54" s="3" t="s">
        <v>2</v>
      </c>
      <c r="B54" s="3"/>
      <c r="C54" s="20" t="s">
        <v>59</v>
      </c>
      <c r="D54" s="20" t="s">
        <v>59</v>
      </c>
      <c r="E54" s="20" t="s">
        <v>59</v>
      </c>
      <c r="F54" s="20" t="s">
        <v>59</v>
      </c>
      <c r="G54" s="20" t="s">
        <v>59</v>
      </c>
      <c r="H54" s="20" t="s">
        <v>59</v>
      </c>
      <c r="I54" s="20" t="s">
        <v>59</v>
      </c>
      <c r="J54" s="20" t="s">
        <v>59</v>
      </c>
      <c r="K54" s="20" t="s">
        <v>59</v>
      </c>
      <c r="L54" s="20" t="s">
        <v>59</v>
      </c>
      <c r="M54" s="20" t="s">
        <v>59</v>
      </c>
      <c r="N54" s="20" t="s">
        <v>60</v>
      </c>
      <c r="O54" s="20" t="s">
        <v>60</v>
      </c>
      <c r="P54" s="20" t="s">
        <v>60</v>
      </c>
      <c r="Q54" s="20" t="s">
        <v>60</v>
      </c>
      <c r="R54" s="20" t="s">
        <v>60</v>
      </c>
      <c r="S54" s="20" t="s">
        <v>60</v>
      </c>
      <c r="T54" s="20" t="s">
        <v>60</v>
      </c>
      <c r="U54" s="20" t="s">
        <v>60</v>
      </c>
      <c r="V54" s="20" t="s">
        <v>60</v>
      </c>
      <c r="Y54" s="25"/>
    </row>
    <row r="55" spans="1:25">
      <c r="A55" s="3" t="s">
        <v>3</v>
      </c>
      <c r="B55" s="3"/>
      <c r="C55" s="3" t="s">
        <v>50</v>
      </c>
      <c r="D55" s="3" t="s">
        <v>52</v>
      </c>
      <c r="E55" s="3" t="s">
        <v>52</v>
      </c>
      <c r="F55" s="3" t="s">
        <v>50</v>
      </c>
      <c r="G55" s="3" t="s">
        <v>48</v>
      </c>
      <c r="H55" s="3" t="s">
        <v>48</v>
      </c>
      <c r="I55" s="3" t="s">
        <v>51</v>
      </c>
      <c r="J55" s="3" t="s">
        <v>49</v>
      </c>
      <c r="K55" s="3" t="s">
        <v>52</v>
      </c>
      <c r="L55" s="3" t="s">
        <v>49</v>
      </c>
      <c r="M55" s="3" t="s">
        <v>50</v>
      </c>
      <c r="N55" s="3" t="s">
        <v>51</v>
      </c>
      <c r="O55" s="3" t="s">
        <v>49</v>
      </c>
      <c r="P55" s="3" t="s">
        <v>48</v>
      </c>
      <c r="Q55" s="3" t="s">
        <v>51</v>
      </c>
      <c r="R55" s="3" t="s">
        <v>48</v>
      </c>
      <c r="S55" s="3" t="s">
        <v>48</v>
      </c>
      <c r="T55" s="3" t="s">
        <v>48</v>
      </c>
      <c r="U55" s="3" t="s">
        <v>52</v>
      </c>
      <c r="V55" s="3" t="s">
        <v>49</v>
      </c>
      <c r="Y55" s="25" t="s">
        <v>50</v>
      </c>
    </row>
    <row r="56" spans="1:25">
      <c r="A56" s="131" t="s">
        <v>4</v>
      </c>
      <c r="B56" s="131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Y56" s="25" t="s">
        <v>51</v>
      </c>
    </row>
    <row r="57" spans="1:25" hidden="1">
      <c r="A57" s="3" t="s">
        <v>53</v>
      </c>
      <c r="B57" s="3"/>
      <c r="C57" s="3">
        <f>IF(C56="",0,IF(C56=C55,1,-0.25))</f>
        <v>0</v>
      </c>
      <c r="D57" s="3">
        <f t="shared" ref="D57:V57" si="2">IF(D56="",0,IF(D56=D55,1,-0.25))</f>
        <v>0</v>
      </c>
      <c r="E57" s="3">
        <f t="shared" si="2"/>
        <v>0</v>
      </c>
      <c r="F57" s="3">
        <f t="shared" si="2"/>
        <v>0</v>
      </c>
      <c r="G57" s="3">
        <f t="shared" si="2"/>
        <v>0</v>
      </c>
      <c r="H57" s="3">
        <f t="shared" si="2"/>
        <v>0</v>
      </c>
      <c r="I57" s="3">
        <f t="shared" si="2"/>
        <v>0</v>
      </c>
      <c r="J57" s="3">
        <f t="shared" si="2"/>
        <v>0</v>
      </c>
      <c r="K57" s="3">
        <f t="shared" si="2"/>
        <v>0</v>
      </c>
      <c r="L57" s="3">
        <f t="shared" si="2"/>
        <v>0</v>
      </c>
      <c r="M57" s="3">
        <f t="shared" si="2"/>
        <v>0</v>
      </c>
      <c r="N57" s="3">
        <f t="shared" si="2"/>
        <v>0</v>
      </c>
      <c r="O57" s="3">
        <f t="shared" si="2"/>
        <v>0</v>
      </c>
      <c r="P57" s="3">
        <f t="shared" si="2"/>
        <v>0</v>
      </c>
      <c r="Q57" s="3">
        <f t="shared" si="2"/>
        <v>0</v>
      </c>
      <c r="R57" s="3">
        <f t="shared" si="2"/>
        <v>0</v>
      </c>
      <c r="S57" s="3">
        <f t="shared" si="2"/>
        <v>0</v>
      </c>
      <c r="T57" s="3">
        <f t="shared" si="2"/>
        <v>0</v>
      </c>
      <c r="U57" s="3">
        <f t="shared" si="2"/>
        <v>0</v>
      </c>
      <c r="V57" s="3">
        <f t="shared" si="2"/>
        <v>0</v>
      </c>
      <c r="Y57" s="25" t="s">
        <v>48</v>
      </c>
    </row>
    <row r="58" spans="1:25">
      <c r="A58" s="3"/>
      <c r="B58" s="3"/>
      <c r="C58" s="22">
        <v>21</v>
      </c>
      <c r="D58" s="22">
        <v>22</v>
      </c>
      <c r="E58" s="22">
        <v>23</v>
      </c>
      <c r="F58" s="22">
        <v>24</v>
      </c>
      <c r="G58" s="22">
        <v>25</v>
      </c>
      <c r="H58" s="22">
        <v>26</v>
      </c>
      <c r="I58" s="22">
        <v>27</v>
      </c>
      <c r="J58" s="22">
        <v>28</v>
      </c>
      <c r="K58" s="22">
        <v>29</v>
      </c>
      <c r="L58" s="22">
        <v>30</v>
      </c>
      <c r="M58" s="22">
        <v>31</v>
      </c>
      <c r="N58" s="22">
        <v>32</v>
      </c>
      <c r="O58" s="22">
        <v>33</v>
      </c>
      <c r="P58" s="22">
        <v>34</v>
      </c>
      <c r="Q58" s="22">
        <v>35</v>
      </c>
      <c r="R58" s="3"/>
      <c r="S58" s="3"/>
      <c r="T58" s="3"/>
      <c r="U58" s="3"/>
      <c r="V58" s="3"/>
      <c r="Y58" s="25" t="s">
        <v>52</v>
      </c>
    </row>
    <row r="59" spans="1:25">
      <c r="A59" s="3"/>
      <c r="B59" s="3"/>
      <c r="C59" s="20" t="s">
        <v>60</v>
      </c>
      <c r="D59" s="20" t="s">
        <v>60</v>
      </c>
      <c r="E59" s="20" t="s">
        <v>60</v>
      </c>
      <c r="F59" s="20" t="s">
        <v>60</v>
      </c>
      <c r="G59" s="20" t="s">
        <v>60</v>
      </c>
      <c r="H59" s="20" t="s">
        <v>60</v>
      </c>
      <c r="I59" s="20" t="s">
        <v>60</v>
      </c>
      <c r="J59" s="20" t="s">
        <v>60</v>
      </c>
      <c r="K59" s="20" t="s">
        <v>60</v>
      </c>
      <c r="L59" s="20" t="s">
        <v>61</v>
      </c>
      <c r="M59" s="20" t="s">
        <v>61</v>
      </c>
      <c r="N59" s="20" t="s">
        <v>61</v>
      </c>
      <c r="O59" s="20" t="s">
        <v>61</v>
      </c>
      <c r="P59" s="20" t="s">
        <v>61</v>
      </c>
      <c r="Q59" s="20" t="s">
        <v>61</v>
      </c>
      <c r="R59" s="3"/>
      <c r="S59" s="3"/>
      <c r="T59" s="3"/>
      <c r="U59" s="3"/>
      <c r="V59" s="3"/>
      <c r="Y59" s="25" t="s">
        <v>49</v>
      </c>
    </row>
    <row r="60" spans="1:25" ht="15" customHeight="1">
      <c r="A60" s="3"/>
      <c r="B60" s="3"/>
      <c r="C60" s="3" t="s">
        <v>49</v>
      </c>
      <c r="D60" s="3" t="s">
        <v>50</v>
      </c>
      <c r="E60" s="3" t="s">
        <v>49</v>
      </c>
      <c r="F60" s="3" t="s">
        <v>52</v>
      </c>
      <c r="G60" s="3" t="s">
        <v>48</v>
      </c>
      <c r="H60" s="3" t="s">
        <v>52</v>
      </c>
      <c r="I60" s="3" t="s">
        <v>52</v>
      </c>
      <c r="J60" s="3" t="s">
        <v>52</v>
      </c>
      <c r="K60" s="3" t="s">
        <v>52</v>
      </c>
      <c r="L60" s="3" t="s">
        <v>50</v>
      </c>
      <c r="M60" s="3" t="s">
        <v>52</v>
      </c>
      <c r="N60" s="3" t="s">
        <v>49</v>
      </c>
      <c r="O60" s="3" t="s">
        <v>51</v>
      </c>
      <c r="P60" s="3" t="s">
        <v>50</v>
      </c>
      <c r="Q60" s="3" t="s">
        <v>50</v>
      </c>
      <c r="R60" s="3"/>
      <c r="S60" s="3"/>
      <c r="T60" s="3"/>
      <c r="U60" s="3"/>
      <c r="V60" s="3"/>
    </row>
    <row r="61" spans="1: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3"/>
      <c r="S61" s="3"/>
      <c r="T61" s="3"/>
      <c r="U61" s="3"/>
      <c r="V61" s="3"/>
    </row>
    <row r="62" spans="1:25" hidden="1">
      <c r="A62" s="3" t="s">
        <v>53</v>
      </c>
      <c r="B62" s="3"/>
      <c r="C62" s="3">
        <f>IF(C61="",0,IF(C61=C60,1,-0.25))</f>
        <v>0</v>
      </c>
      <c r="D62" s="3">
        <f t="shared" ref="D62:Q62" si="3">IF(D61="",0,IF(D61=D60,1,-0.25))</f>
        <v>0</v>
      </c>
      <c r="E62" s="3">
        <f t="shared" si="3"/>
        <v>0</v>
      </c>
      <c r="F62" s="3">
        <f t="shared" si="3"/>
        <v>0</v>
      </c>
      <c r="G62" s="3">
        <f t="shared" si="3"/>
        <v>0</v>
      </c>
      <c r="H62" s="3">
        <f t="shared" si="3"/>
        <v>0</v>
      </c>
      <c r="I62" s="3">
        <f t="shared" si="3"/>
        <v>0</v>
      </c>
      <c r="J62" s="3">
        <f t="shared" si="3"/>
        <v>0</v>
      </c>
      <c r="K62" s="3">
        <f t="shared" si="3"/>
        <v>0</v>
      </c>
      <c r="L62" s="3">
        <f t="shared" si="3"/>
        <v>0</v>
      </c>
      <c r="M62" s="3">
        <f t="shared" si="3"/>
        <v>0</v>
      </c>
      <c r="N62" s="3">
        <f t="shared" si="3"/>
        <v>0</v>
      </c>
      <c r="O62" s="3">
        <f t="shared" si="3"/>
        <v>0</v>
      </c>
      <c r="P62" s="3">
        <f t="shared" si="3"/>
        <v>0</v>
      </c>
      <c r="Q62" s="3">
        <f t="shared" si="3"/>
        <v>0</v>
      </c>
      <c r="R62" s="4"/>
      <c r="S62" s="4"/>
      <c r="T62" s="4"/>
      <c r="U62" s="4"/>
      <c r="V62" s="4"/>
    </row>
    <row r="63" spans="1:25">
      <c r="A63" s="9" t="s">
        <v>7</v>
      </c>
      <c r="B63" s="1"/>
      <c r="C63" s="9" t="s">
        <v>77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>
      <c r="A65" s="1" t="s">
        <v>1</v>
      </c>
      <c r="B65" s="1"/>
      <c r="C65" s="24">
        <v>1</v>
      </c>
      <c r="D65" s="24">
        <v>2</v>
      </c>
      <c r="E65" s="24">
        <v>3</v>
      </c>
      <c r="F65" s="24">
        <v>4</v>
      </c>
      <c r="G65" s="24">
        <v>5</v>
      </c>
      <c r="H65" s="24">
        <v>6</v>
      </c>
      <c r="I65" s="24">
        <v>7</v>
      </c>
      <c r="J65" s="24">
        <v>8</v>
      </c>
      <c r="K65" s="24">
        <v>9</v>
      </c>
      <c r="L65" s="24">
        <v>10</v>
      </c>
      <c r="M65" s="24">
        <v>11</v>
      </c>
      <c r="N65" s="24">
        <v>12</v>
      </c>
      <c r="O65" s="24">
        <v>13</v>
      </c>
      <c r="P65" s="24">
        <v>14</v>
      </c>
      <c r="Q65" s="24">
        <v>15</v>
      </c>
      <c r="R65" s="24">
        <v>16</v>
      </c>
      <c r="S65" s="24">
        <v>17</v>
      </c>
      <c r="T65" s="24">
        <v>18</v>
      </c>
      <c r="U65" s="1"/>
      <c r="V65" s="1"/>
    </row>
    <row r="66" spans="1:22">
      <c r="A66" s="1" t="s">
        <v>2</v>
      </c>
      <c r="B66" s="1"/>
      <c r="C66" s="18" t="s">
        <v>54</v>
      </c>
      <c r="D66" s="18" t="s">
        <v>50</v>
      </c>
      <c r="E66" s="18" t="s">
        <v>52</v>
      </c>
      <c r="F66" s="18" t="s">
        <v>55</v>
      </c>
      <c r="G66" s="18" t="s">
        <v>56</v>
      </c>
      <c r="H66" s="18" t="s">
        <v>50</v>
      </c>
      <c r="I66" s="18" t="s">
        <v>56</v>
      </c>
      <c r="J66" s="18" t="s">
        <v>50</v>
      </c>
      <c r="K66" s="18" t="s">
        <v>54</v>
      </c>
      <c r="L66" s="18" t="s">
        <v>50</v>
      </c>
      <c r="M66" s="18" t="s">
        <v>52</v>
      </c>
      <c r="N66" s="18" t="s">
        <v>50</v>
      </c>
      <c r="O66" s="18" t="s">
        <v>50</v>
      </c>
      <c r="P66" s="18" t="s">
        <v>55</v>
      </c>
      <c r="Q66" s="18" t="s">
        <v>50</v>
      </c>
      <c r="R66" s="18" t="s">
        <v>50</v>
      </c>
      <c r="S66" s="18" t="s">
        <v>54</v>
      </c>
      <c r="T66" s="18" t="s">
        <v>56</v>
      </c>
      <c r="U66" s="1"/>
      <c r="V66" s="1"/>
    </row>
    <row r="67" spans="1:22" ht="27" customHeight="1">
      <c r="A67" s="1" t="s">
        <v>3</v>
      </c>
      <c r="B67" s="1"/>
      <c r="C67" s="1" t="s">
        <v>51</v>
      </c>
      <c r="D67" s="1" t="s">
        <v>49</v>
      </c>
      <c r="E67" s="1" t="s">
        <v>51</v>
      </c>
      <c r="F67" s="1" t="s">
        <v>50</v>
      </c>
      <c r="G67" s="1" t="s">
        <v>52</v>
      </c>
      <c r="H67" s="1" t="s">
        <v>50</v>
      </c>
      <c r="I67" s="1" t="s">
        <v>48</v>
      </c>
      <c r="J67" s="1" t="s">
        <v>51</v>
      </c>
      <c r="K67" s="1">
        <v>108</v>
      </c>
      <c r="L67" s="1">
        <v>0.5</v>
      </c>
      <c r="M67" s="1">
        <v>1300</v>
      </c>
      <c r="N67" s="1">
        <v>24</v>
      </c>
      <c r="O67" s="1">
        <v>300</v>
      </c>
      <c r="P67" s="1">
        <v>11</v>
      </c>
      <c r="Q67" s="1">
        <v>0.66600000000000004</v>
      </c>
      <c r="R67" s="1" t="s">
        <v>62</v>
      </c>
      <c r="S67" s="1">
        <v>2491</v>
      </c>
      <c r="T67" s="1">
        <v>23.3</v>
      </c>
      <c r="U67" s="1"/>
      <c r="V67" s="1"/>
    </row>
    <row r="68" spans="1:22" ht="18" customHeight="1">
      <c r="A68" s="1" t="s">
        <v>4</v>
      </c>
      <c r="B68" s="1"/>
      <c r="C68" s="5"/>
      <c r="D68" s="5"/>
      <c r="E68" s="5"/>
      <c r="F68" s="5"/>
      <c r="G68" s="5"/>
      <c r="H68" s="5"/>
      <c r="I68" s="5"/>
      <c r="J68" s="5"/>
      <c r="K68" s="5">
        <v>1</v>
      </c>
      <c r="L68" s="5"/>
      <c r="M68" s="5"/>
      <c r="N68" s="5"/>
      <c r="O68" s="5"/>
      <c r="P68" s="5"/>
      <c r="Q68" s="5"/>
      <c r="R68" s="5"/>
      <c r="S68" s="5"/>
      <c r="T68" s="5"/>
      <c r="U68" s="1"/>
      <c r="V68" s="1"/>
    </row>
    <row r="69" spans="1:22">
      <c r="A69" s="1" t="s">
        <v>53</v>
      </c>
      <c r="B69" s="1"/>
      <c r="C69" s="1">
        <f t="shared" ref="C69:J69" si="4">IF(C68="",0,IF(C68=C67,1,-0.25))</f>
        <v>0</v>
      </c>
      <c r="D69" s="1">
        <f t="shared" si="4"/>
        <v>0</v>
      </c>
      <c r="E69" s="1">
        <f t="shared" si="4"/>
        <v>0</v>
      </c>
      <c r="F69" s="1">
        <f t="shared" si="4"/>
        <v>0</v>
      </c>
      <c r="G69" s="1">
        <f t="shared" si="4"/>
        <v>0</v>
      </c>
      <c r="H69" s="1">
        <f t="shared" si="4"/>
        <v>0</v>
      </c>
      <c r="I69" s="1">
        <f t="shared" si="4"/>
        <v>0</v>
      </c>
      <c r="J69" s="1">
        <f t="shared" si="4"/>
        <v>0</v>
      </c>
      <c r="K69" s="1" t="str">
        <f t="shared" ref="K69:Q69" si="5">IF(K68=K67,1,IF(K68="",0,"inc"))</f>
        <v>inc</v>
      </c>
      <c r="L69" s="1">
        <f t="shared" si="5"/>
        <v>0</v>
      </c>
      <c r="M69" s="1">
        <f t="shared" si="5"/>
        <v>0</v>
      </c>
      <c r="N69" s="1">
        <f t="shared" si="5"/>
        <v>0</v>
      </c>
      <c r="O69" s="1">
        <f t="shared" si="5"/>
        <v>0</v>
      </c>
      <c r="P69" s="1">
        <f t="shared" si="5"/>
        <v>0</v>
      </c>
      <c r="Q69" s="1">
        <f t="shared" si="5"/>
        <v>0</v>
      </c>
      <c r="R69" s="1">
        <f>IF(R68&gt;3,IF(R68&lt;4,1,IF(R68="",0,"inc")),IF(R68="",0,"inc"))</f>
        <v>0</v>
      </c>
      <c r="S69" s="1">
        <f>IF(S68=S67,1,IF(S68="",0,"inc"))</f>
        <v>0</v>
      </c>
      <c r="T69" s="1">
        <f>IF(T68=T67,1,IF(T68="",0,"inc"))</f>
        <v>0</v>
      </c>
      <c r="U69" s="1"/>
      <c r="V69" s="1"/>
    </row>
    <row r="70" spans="1:22">
      <c r="A70" s="8" t="s">
        <v>8</v>
      </c>
      <c r="B70" s="2"/>
      <c r="C70" s="8" t="s">
        <v>78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>
      <c r="A72" s="2" t="s">
        <v>1</v>
      </c>
      <c r="B72" s="2"/>
      <c r="C72" s="23">
        <v>1</v>
      </c>
      <c r="D72" s="23">
        <v>2</v>
      </c>
      <c r="E72" s="23">
        <v>3</v>
      </c>
      <c r="F72" s="23">
        <v>4</v>
      </c>
      <c r="G72" s="23">
        <v>5</v>
      </c>
      <c r="H72" s="23">
        <v>6</v>
      </c>
      <c r="I72" s="23">
        <v>7</v>
      </c>
      <c r="J72" s="23">
        <v>8</v>
      </c>
      <c r="K72" s="23">
        <v>9</v>
      </c>
      <c r="L72" s="23">
        <v>10</v>
      </c>
      <c r="M72" s="23">
        <v>11</v>
      </c>
      <c r="N72" s="23">
        <v>12</v>
      </c>
      <c r="O72" s="23">
        <v>13</v>
      </c>
      <c r="P72" s="23">
        <v>14</v>
      </c>
      <c r="Q72" s="23">
        <v>15</v>
      </c>
      <c r="R72" s="23">
        <v>16</v>
      </c>
      <c r="S72" s="23">
        <v>17</v>
      </c>
      <c r="T72" s="23">
        <v>18</v>
      </c>
      <c r="U72" s="23">
        <v>19</v>
      </c>
      <c r="V72" s="23">
        <v>20</v>
      </c>
    </row>
    <row r="73" spans="1:22">
      <c r="A73" s="2" t="s">
        <v>2</v>
      </c>
      <c r="B73" s="2"/>
      <c r="C73" s="19" t="s">
        <v>57</v>
      </c>
      <c r="D73" s="19" t="s">
        <v>57</v>
      </c>
      <c r="E73" s="19" t="s">
        <v>57</v>
      </c>
      <c r="F73" s="19" t="s">
        <v>57</v>
      </c>
      <c r="G73" s="19" t="s">
        <v>57</v>
      </c>
      <c r="H73" s="19" t="s">
        <v>57</v>
      </c>
      <c r="I73" s="19" t="s">
        <v>57</v>
      </c>
      <c r="J73" s="19" t="s">
        <v>57</v>
      </c>
      <c r="K73" s="19" t="s">
        <v>58</v>
      </c>
      <c r="L73" s="19" t="s">
        <v>58</v>
      </c>
      <c r="M73" s="19" t="s">
        <v>58</v>
      </c>
      <c r="N73" s="19" t="s">
        <v>58</v>
      </c>
      <c r="O73" s="19" t="s">
        <v>58</v>
      </c>
      <c r="P73" s="19" t="s">
        <v>58</v>
      </c>
      <c r="Q73" s="19" t="s">
        <v>58</v>
      </c>
      <c r="R73" s="19" t="s">
        <v>58</v>
      </c>
      <c r="S73" s="19" t="s">
        <v>58</v>
      </c>
      <c r="T73" s="19" t="s">
        <v>58</v>
      </c>
      <c r="U73" s="19" t="s">
        <v>58</v>
      </c>
      <c r="V73" s="19" t="s">
        <v>58</v>
      </c>
    </row>
    <row r="74" spans="1:22">
      <c r="A74" s="2" t="s">
        <v>3</v>
      </c>
      <c r="B74" s="2"/>
      <c r="C74" s="2" t="s">
        <v>52</v>
      </c>
      <c r="D74" s="2" t="s">
        <v>48</v>
      </c>
      <c r="E74" s="2" t="s">
        <v>50</v>
      </c>
      <c r="F74" s="2" t="s">
        <v>51</v>
      </c>
      <c r="G74" s="2" t="s">
        <v>48</v>
      </c>
      <c r="H74" s="2" t="s">
        <v>48</v>
      </c>
      <c r="I74" s="2" t="s">
        <v>49</v>
      </c>
      <c r="J74" s="2" t="s">
        <v>49</v>
      </c>
      <c r="K74" s="2" t="s">
        <v>52</v>
      </c>
      <c r="L74" s="2" t="s">
        <v>51</v>
      </c>
      <c r="M74" s="2" t="s">
        <v>52</v>
      </c>
      <c r="N74" s="2" t="s">
        <v>51</v>
      </c>
      <c r="O74" s="2" t="s">
        <v>48</v>
      </c>
      <c r="P74" s="2" t="s">
        <v>52</v>
      </c>
      <c r="Q74" s="2" t="s">
        <v>49</v>
      </c>
      <c r="R74" s="2" t="s">
        <v>50</v>
      </c>
      <c r="S74" s="2" t="s">
        <v>52</v>
      </c>
      <c r="T74" s="2" t="s">
        <v>49</v>
      </c>
      <c r="U74" s="2" t="s">
        <v>52</v>
      </c>
      <c r="V74" s="2" t="s">
        <v>50</v>
      </c>
    </row>
    <row r="75" spans="1:22">
      <c r="A75" s="2" t="s">
        <v>4</v>
      </c>
      <c r="B75" s="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</row>
    <row r="76" spans="1:22" hidden="1">
      <c r="A76" s="2" t="s">
        <v>53</v>
      </c>
      <c r="B76" s="2"/>
      <c r="C76" s="2">
        <f>IF(C75="",0,IF(C75=C74,1,-0.25))</f>
        <v>0</v>
      </c>
      <c r="D76" s="2">
        <f t="shared" ref="D76:V76" si="6">IF(D75="",0,IF(D75=D74,1,-0.25))</f>
        <v>0</v>
      </c>
      <c r="E76" s="2">
        <f t="shared" si="6"/>
        <v>0</v>
      </c>
      <c r="F76" s="2">
        <f t="shared" si="6"/>
        <v>0</v>
      </c>
      <c r="G76" s="2">
        <f t="shared" si="6"/>
        <v>0</v>
      </c>
      <c r="H76" s="2">
        <f t="shared" si="6"/>
        <v>0</v>
      </c>
      <c r="I76" s="2">
        <f t="shared" si="6"/>
        <v>0</v>
      </c>
      <c r="J76" s="2">
        <f t="shared" si="6"/>
        <v>0</v>
      </c>
      <c r="K76" s="2">
        <f t="shared" si="6"/>
        <v>0</v>
      </c>
      <c r="L76" s="2">
        <f t="shared" si="6"/>
        <v>0</v>
      </c>
      <c r="M76" s="2">
        <f t="shared" si="6"/>
        <v>0</v>
      </c>
      <c r="N76" s="2">
        <f t="shared" si="6"/>
        <v>0</v>
      </c>
      <c r="O76" s="2">
        <f t="shared" si="6"/>
        <v>0</v>
      </c>
      <c r="P76" s="2">
        <f t="shared" si="6"/>
        <v>0</v>
      </c>
      <c r="Q76" s="2">
        <f t="shared" si="6"/>
        <v>0</v>
      </c>
      <c r="R76" s="2">
        <f t="shared" si="6"/>
        <v>0</v>
      </c>
      <c r="S76" s="2">
        <f t="shared" si="6"/>
        <v>0</v>
      </c>
      <c r="T76" s="2">
        <f t="shared" si="6"/>
        <v>0</v>
      </c>
      <c r="U76" s="2">
        <f t="shared" si="6"/>
        <v>0</v>
      </c>
      <c r="V76" s="2">
        <f t="shared" si="6"/>
        <v>0</v>
      </c>
    </row>
    <row r="77" spans="1:22">
      <c r="A77" s="2"/>
      <c r="B77" s="2"/>
      <c r="C77" s="23">
        <v>21</v>
      </c>
      <c r="D77" s="23">
        <v>22</v>
      </c>
      <c r="E77" s="23">
        <v>23</v>
      </c>
      <c r="F77" s="23">
        <v>24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>
      <c r="A78" s="2"/>
      <c r="B78" s="2"/>
      <c r="C78" s="21" t="s">
        <v>58</v>
      </c>
      <c r="D78" s="21" t="s">
        <v>58</v>
      </c>
      <c r="E78" s="21" t="s">
        <v>58</v>
      </c>
      <c r="F78" s="21" t="s">
        <v>58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>
      <c r="A79" s="2"/>
      <c r="B79" s="2"/>
      <c r="C79" s="6" t="s">
        <v>51</v>
      </c>
      <c r="D79" s="6" t="s">
        <v>50</v>
      </c>
      <c r="E79" s="6" t="s">
        <v>48</v>
      </c>
      <c r="F79" s="6" t="s">
        <v>51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>
      <c r="A80" s="2"/>
      <c r="B80" s="2"/>
      <c r="C80" s="5"/>
      <c r="D80" s="5"/>
      <c r="E80" s="5"/>
      <c r="F80" s="5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idden="1">
      <c r="A81" s="2" t="s">
        <v>53</v>
      </c>
      <c r="B81" s="2"/>
      <c r="C81" s="2">
        <f>IF(C80="",0,IF(C80=C79,1,-0.25))</f>
        <v>0</v>
      </c>
      <c r="D81" s="2">
        <f>IF(D80="",0,IF(D80=D79,1,-0.25))</f>
        <v>0</v>
      </c>
      <c r="E81" s="2">
        <f>IF(E80="",0,IF(E80=E79,1,-0.25))</f>
        <v>0</v>
      </c>
      <c r="F81" s="2">
        <f>IF(F80="",0,IF(F80=F79,1,-0.25))</f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>
      <c r="A82" s="9" t="s">
        <v>9</v>
      </c>
      <c r="B82" s="1"/>
      <c r="C82" s="9" t="s">
        <v>77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>
      <c r="A84" s="1" t="s">
        <v>1</v>
      </c>
      <c r="B84" s="1"/>
      <c r="C84" s="24">
        <v>1</v>
      </c>
      <c r="D84" s="24">
        <v>2</v>
      </c>
      <c r="E84" s="24">
        <v>3</v>
      </c>
      <c r="F84" s="24">
        <v>4</v>
      </c>
      <c r="G84" s="24">
        <v>5</v>
      </c>
      <c r="H84" s="24">
        <v>6</v>
      </c>
      <c r="I84" s="24">
        <v>7</v>
      </c>
      <c r="J84" s="24">
        <v>8</v>
      </c>
      <c r="K84" s="24">
        <v>9</v>
      </c>
      <c r="L84" s="24">
        <v>10</v>
      </c>
      <c r="M84" s="24">
        <v>11</v>
      </c>
      <c r="N84" s="24">
        <v>12</v>
      </c>
      <c r="O84" s="24">
        <v>13</v>
      </c>
      <c r="P84" s="24">
        <v>14</v>
      </c>
      <c r="Q84" s="24">
        <v>15</v>
      </c>
      <c r="R84" s="24">
        <v>16</v>
      </c>
      <c r="S84" s="1"/>
      <c r="T84" s="1"/>
      <c r="U84" s="1"/>
      <c r="V84" s="1"/>
    </row>
    <row r="85" spans="1:22">
      <c r="A85" s="1" t="s">
        <v>2</v>
      </c>
      <c r="B85" s="1"/>
      <c r="C85" s="18" t="s">
        <v>50</v>
      </c>
      <c r="D85" s="18" t="s">
        <v>50</v>
      </c>
      <c r="E85" s="18" t="s">
        <v>50</v>
      </c>
      <c r="F85" s="18" t="s">
        <v>56</v>
      </c>
      <c r="G85" s="18" t="s">
        <v>54</v>
      </c>
      <c r="H85" s="18" t="s">
        <v>52</v>
      </c>
      <c r="I85" s="18" t="s">
        <v>56</v>
      </c>
      <c r="J85" s="18" t="s">
        <v>52</v>
      </c>
      <c r="K85" s="18" t="s">
        <v>56</v>
      </c>
      <c r="L85" s="18" t="s">
        <v>54</v>
      </c>
      <c r="M85" s="18" t="s">
        <v>50</v>
      </c>
      <c r="N85" s="18" t="s">
        <v>56</v>
      </c>
      <c r="O85" s="18" t="s">
        <v>50</v>
      </c>
      <c r="P85" s="18" t="s">
        <v>56</v>
      </c>
      <c r="Q85" s="18" t="s">
        <v>50</v>
      </c>
      <c r="R85" s="18" t="s">
        <v>50</v>
      </c>
      <c r="S85" s="1"/>
      <c r="T85" s="1"/>
      <c r="U85" s="1"/>
      <c r="V85" s="1"/>
    </row>
    <row r="86" spans="1:22">
      <c r="A86" s="1" t="s">
        <v>3</v>
      </c>
      <c r="B86" s="1"/>
      <c r="C86" s="1" t="s">
        <v>48</v>
      </c>
      <c r="D86" s="1" t="s">
        <v>50</v>
      </c>
      <c r="E86" s="1" t="s">
        <v>51</v>
      </c>
      <c r="F86" s="1" t="s">
        <v>51</v>
      </c>
      <c r="G86" s="1" t="s">
        <v>48</v>
      </c>
      <c r="H86" s="1" t="s">
        <v>52</v>
      </c>
      <c r="I86" s="1" t="s">
        <v>49</v>
      </c>
      <c r="J86" s="1" t="s">
        <v>51</v>
      </c>
      <c r="K86" s="1" t="s">
        <v>51</v>
      </c>
      <c r="L86" s="1" t="s">
        <v>48</v>
      </c>
      <c r="M86" s="1" t="s">
        <v>52</v>
      </c>
      <c r="N86" s="1" t="s">
        <v>51</v>
      </c>
      <c r="O86" s="1" t="s">
        <v>51</v>
      </c>
      <c r="P86" s="1" t="s">
        <v>52</v>
      </c>
      <c r="Q86" s="1" t="s">
        <v>49</v>
      </c>
      <c r="R86" s="1" t="s">
        <v>52</v>
      </c>
      <c r="S86" s="1"/>
      <c r="T86" s="1"/>
      <c r="U86" s="1"/>
      <c r="V86" s="1"/>
    </row>
    <row r="87" spans="1:22">
      <c r="A87" s="1" t="s">
        <v>4</v>
      </c>
      <c r="B87" s="1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1"/>
      <c r="T87" s="1"/>
      <c r="U87" s="1"/>
      <c r="V87" s="1"/>
    </row>
    <row r="88" spans="1:22" hidden="1">
      <c r="A88" s="1" t="s">
        <v>53</v>
      </c>
      <c r="B88" s="1"/>
      <c r="C88" s="1">
        <f>IF(C87="",0,IF(C87=C86,1,-0.25))</f>
        <v>0</v>
      </c>
      <c r="D88" s="1">
        <f t="shared" ref="D88:R88" si="7">IF(D87="",0,IF(D87=D86,1,-0.25))</f>
        <v>0</v>
      </c>
      <c r="E88" s="1">
        <f t="shared" si="7"/>
        <v>0</v>
      </c>
      <c r="F88" s="1">
        <f t="shared" si="7"/>
        <v>0</v>
      </c>
      <c r="G88" s="1">
        <f t="shared" si="7"/>
        <v>0</v>
      </c>
      <c r="H88" s="1">
        <f t="shared" si="7"/>
        <v>0</v>
      </c>
      <c r="I88" s="1">
        <f t="shared" si="7"/>
        <v>0</v>
      </c>
      <c r="J88" s="1">
        <f t="shared" si="7"/>
        <v>0</v>
      </c>
      <c r="K88" s="1">
        <f t="shared" si="7"/>
        <v>0</v>
      </c>
      <c r="L88" s="1">
        <f t="shared" si="7"/>
        <v>0</v>
      </c>
      <c r="M88" s="1">
        <f t="shared" si="7"/>
        <v>0</v>
      </c>
      <c r="N88" s="1">
        <f t="shared" si="7"/>
        <v>0</v>
      </c>
      <c r="O88" s="1">
        <f t="shared" si="7"/>
        <v>0</v>
      </c>
      <c r="P88" s="1">
        <f t="shared" si="7"/>
        <v>0</v>
      </c>
      <c r="Q88" s="1">
        <f t="shared" si="7"/>
        <v>0</v>
      </c>
      <c r="R88" s="1">
        <f t="shared" si="7"/>
        <v>0</v>
      </c>
      <c r="S88" s="1"/>
      <c r="T88" s="1"/>
      <c r="U88" s="1"/>
      <c r="V88" s="1"/>
    </row>
    <row r="89" spans="1:22">
      <c r="A89" s="8" t="s">
        <v>10</v>
      </c>
      <c r="B89" s="2"/>
      <c r="C89" s="8" t="s">
        <v>78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>
      <c r="A91" s="2" t="s">
        <v>1</v>
      </c>
      <c r="B91" s="2"/>
      <c r="C91" s="23">
        <v>1</v>
      </c>
      <c r="D91" s="23">
        <v>2</v>
      </c>
      <c r="E91" s="23">
        <v>3</v>
      </c>
      <c r="F91" s="23">
        <v>4</v>
      </c>
      <c r="G91" s="23">
        <v>5</v>
      </c>
      <c r="H91" s="23">
        <v>6</v>
      </c>
      <c r="I91" s="23">
        <v>7</v>
      </c>
      <c r="J91" s="23">
        <v>8</v>
      </c>
      <c r="K91" s="23">
        <v>9</v>
      </c>
      <c r="L91" s="23">
        <v>10</v>
      </c>
      <c r="M91" s="23">
        <v>11</v>
      </c>
      <c r="N91" s="23">
        <v>12</v>
      </c>
      <c r="O91" s="23">
        <v>13</v>
      </c>
      <c r="P91" s="23">
        <v>14</v>
      </c>
      <c r="Q91" s="23">
        <v>15</v>
      </c>
      <c r="R91" s="23">
        <v>16</v>
      </c>
      <c r="S91" s="23">
        <v>17</v>
      </c>
      <c r="T91" s="23">
        <v>18</v>
      </c>
      <c r="U91" s="23">
        <v>19</v>
      </c>
      <c r="V91" s="2"/>
    </row>
    <row r="92" spans="1:22">
      <c r="A92" s="2" t="s">
        <v>2</v>
      </c>
      <c r="B92" s="2"/>
      <c r="C92" s="19" t="s">
        <v>57</v>
      </c>
      <c r="D92" s="19" t="s">
        <v>57</v>
      </c>
      <c r="E92" s="19" t="s">
        <v>57</v>
      </c>
      <c r="F92" s="19" t="s">
        <v>57</v>
      </c>
      <c r="G92" s="19" t="s">
        <v>57</v>
      </c>
      <c r="H92" s="19" t="s">
        <v>57</v>
      </c>
      <c r="I92" s="19" t="s">
        <v>58</v>
      </c>
      <c r="J92" s="19" t="s">
        <v>58</v>
      </c>
      <c r="K92" s="19" t="s">
        <v>58</v>
      </c>
      <c r="L92" s="19" t="s">
        <v>58</v>
      </c>
      <c r="M92" s="19" t="s">
        <v>58</v>
      </c>
      <c r="N92" s="19" t="s">
        <v>58</v>
      </c>
      <c r="O92" s="19" t="s">
        <v>58</v>
      </c>
      <c r="P92" s="19" t="s">
        <v>58</v>
      </c>
      <c r="Q92" s="19" t="s">
        <v>58</v>
      </c>
      <c r="R92" s="19" t="s">
        <v>58</v>
      </c>
      <c r="S92" s="19" t="s">
        <v>58</v>
      </c>
      <c r="T92" s="19" t="s">
        <v>58</v>
      </c>
      <c r="U92" s="19" t="s">
        <v>58</v>
      </c>
      <c r="V92" s="2"/>
    </row>
    <row r="93" spans="1:22">
      <c r="A93" s="2" t="s">
        <v>3</v>
      </c>
      <c r="B93" s="2"/>
      <c r="C93" s="2" t="s">
        <v>50</v>
      </c>
      <c r="D93" s="2" t="s">
        <v>51</v>
      </c>
      <c r="E93" s="2" t="s">
        <v>51</v>
      </c>
      <c r="F93" s="2" t="s">
        <v>52</v>
      </c>
      <c r="G93" s="2" t="s">
        <v>52</v>
      </c>
      <c r="H93" s="2" t="s">
        <v>52</v>
      </c>
      <c r="I93" s="2" t="s">
        <v>51</v>
      </c>
      <c r="J93" s="2" t="s">
        <v>50</v>
      </c>
      <c r="K93" s="2" t="s">
        <v>49</v>
      </c>
      <c r="L93" s="2" t="s">
        <v>51</v>
      </c>
      <c r="M93" s="2" t="s">
        <v>51</v>
      </c>
      <c r="N93" s="2" t="s">
        <v>52</v>
      </c>
      <c r="O93" s="2" t="s">
        <v>48</v>
      </c>
      <c r="P93" s="2" t="s">
        <v>48</v>
      </c>
      <c r="Q93" s="2" t="s">
        <v>48</v>
      </c>
      <c r="R93" s="2" t="s">
        <v>52</v>
      </c>
      <c r="S93" s="2" t="s">
        <v>49</v>
      </c>
      <c r="T93" s="2" t="s">
        <v>48</v>
      </c>
      <c r="U93" s="2" t="s">
        <v>49</v>
      </c>
      <c r="V93" s="2"/>
    </row>
    <row r="94" spans="1:22">
      <c r="A94" s="2" t="s">
        <v>4</v>
      </c>
      <c r="B94" s="2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2"/>
    </row>
    <row r="95" spans="1:22" hidden="1">
      <c r="A95" s="2" t="s">
        <v>53</v>
      </c>
      <c r="B95" s="2"/>
      <c r="C95" s="2">
        <f>IF(C94="",0,IF(C94=C93,1,-0.25))</f>
        <v>0</v>
      </c>
      <c r="D95" s="2">
        <f t="shared" ref="D95:U95" si="8">IF(D94="",0,IF(D94=D93,1,-0.25))</f>
        <v>0</v>
      </c>
      <c r="E95" s="2">
        <f t="shared" si="8"/>
        <v>0</v>
      </c>
      <c r="F95" s="2">
        <f t="shared" si="8"/>
        <v>0</v>
      </c>
      <c r="G95" s="2">
        <f t="shared" si="8"/>
        <v>0</v>
      </c>
      <c r="H95" s="2">
        <f t="shared" si="8"/>
        <v>0</v>
      </c>
      <c r="I95" s="2">
        <f t="shared" si="8"/>
        <v>0</v>
      </c>
      <c r="J95" s="2">
        <f t="shared" si="8"/>
        <v>0</v>
      </c>
      <c r="K95" s="2">
        <f t="shared" si="8"/>
        <v>0</v>
      </c>
      <c r="L95" s="2">
        <f t="shared" si="8"/>
        <v>0</v>
      </c>
      <c r="M95" s="2">
        <f t="shared" si="8"/>
        <v>0</v>
      </c>
      <c r="N95" s="2">
        <f t="shared" si="8"/>
        <v>0</v>
      </c>
      <c r="O95" s="2">
        <f t="shared" si="8"/>
        <v>0</v>
      </c>
      <c r="P95" s="2">
        <f t="shared" si="8"/>
        <v>0</v>
      </c>
      <c r="Q95" s="2">
        <f t="shared" si="8"/>
        <v>0</v>
      </c>
      <c r="R95" s="2">
        <f t="shared" si="8"/>
        <v>0</v>
      </c>
      <c r="S95" s="2">
        <f t="shared" si="8"/>
        <v>0</v>
      </c>
      <c r="T95" s="2">
        <f t="shared" si="8"/>
        <v>0</v>
      </c>
      <c r="U95" s="2">
        <f t="shared" si="8"/>
        <v>0</v>
      </c>
      <c r="V95" s="2"/>
    </row>
    <row r="96" spans="1:22">
      <c r="A96" s="7" t="s">
        <v>11</v>
      </c>
      <c r="B96" s="7"/>
      <c r="C96" s="7" t="s">
        <v>79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>
      <c r="A98" s="3" t="s">
        <v>1</v>
      </c>
      <c r="B98" s="3"/>
      <c r="C98" s="22">
        <v>1</v>
      </c>
      <c r="D98" s="22">
        <v>2</v>
      </c>
      <c r="E98" s="22">
        <v>3</v>
      </c>
      <c r="F98" s="22">
        <v>4</v>
      </c>
      <c r="G98" s="22">
        <v>5</v>
      </c>
      <c r="H98" s="22">
        <v>6</v>
      </c>
      <c r="I98" s="22">
        <v>7</v>
      </c>
      <c r="J98" s="22">
        <v>8</v>
      </c>
      <c r="K98" s="22">
        <v>9</v>
      </c>
      <c r="L98" s="22">
        <v>10</v>
      </c>
      <c r="M98" s="22">
        <v>11</v>
      </c>
      <c r="N98" s="22">
        <v>12</v>
      </c>
      <c r="O98" s="22">
        <v>13</v>
      </c>
      <c r="P98" s="22">
        <v>14</v>
      </c>
      <c r="Q98" s="3"/>
      <c r="R98" s="3"/>
      <c r="S98" s="3"/>
      <c r="T98" s="3"/>
      <c r="U98" s="3"/>
      <c r="V98" s="3"/>
    </row>
    <row r="99" spans="1:22">
      <c r="A99" s="3" t="s">
        <v>2</v>
      </c>
      <c r="B99" s="3"/>
      <c r="C99" s="20" t="s">
        <v>59</v>
      </c>
      <c r="D99" s="20" t="s">
        <v>59</v>
      </c>
      <c r="E99" s="20" t="s">
        <v>59</v>
      </c>
      <c r="F99" s="20" t="s">
        <v>59</v>
      </c>
      <c r="G99" s="20" t="s">
        <v>59</v>
      </c>
      <c r="H99" s="20" t="s">
        <v>59</v>
      </c>
      <c r="I99" s="20" t="s">
        <v>59</v>
      </c>
      <c r="J99" s="20" t="s">
        <v>59</v>
      </c>
      <c r="K99" s="20" t="s">
        <v>59</v>
      </c>
      <c r="L99" s="20" t="s">
        <v>59</v>
      </c>
      <c r="M99" s="20" t="s">
        <v>59</v>
      </c>
      <c r="N99" s="20" t="s">
        <v>59</v>
      </c>
      <c r="O99" s="20" t="s">
        <v>59</v>
      </c>
      <c r="P99" s="20" t="s">
        <v>59</v>
      </c>
      <c r="Q99" s="3"/>
      <c r="R99" s="3"/>
      <c r="S99" s="3"/>
      <c r="T99" s="3"/>
      <c r="U99" s="3"/>
      <c r="V99" s="3"/>
    </row>
    <row r="100" spans="1:22">
      <c r="A100" s="3" t="s">
        <v>3</v>
      </c>
      <c r="B100" s="3"/>
      <c r="C100" s="3" t="s">
        <v>48</v>
      </c>
      <c r="D100" s="3" t="s">
        <v>48</v>
      </c>
      <c r="E100" s="3" t="s">
        <v>50</v>
      </c>
      <c r="F100" s="3" t="s">
        <v>48</v>
      </c>
      <c r="G100" s="3" t="s">
        <v>49</v>
      </c>
      <c r="H100" s="3" t="s">
        <v>52</v>
      </c>
      <c r="I100" s="3" t="s">
        <v>49</v>
      </c>
      <c r="J100" s="3" t="s">
        <v>49</v>
      </c>
      <c r="K100" s="3" t="s">
        <v>52</v>
      </c>
      <c r="L100" s="3" t="s">
        <v>48</v>
      </c>
      <c r="M100" s="3" t="s">
        <v>49</v>
      </c>
      <c r="N100" s="3" t="s">
        <v>48</v>
      </c>
      <c r="O100" s="3" t="s">
        <v>51</v>
      </c>
      <c r="P100" s="3" t="s">
        <v>51</v>
      </c>
      <c r="Q100" s="3"/>
      <c r="R100" s="3"/>
      <c r="S100" s="3"/>
      <c r="T100" s="3"/>
      <c r="U100" s="3"/>
      <c r="V100" s="3"/>
    </row>
    <row r="101" spans="1:22">
      <c r="A101" s="3" t="s">
        <v>4</v>
      </c>
      <c r="B101" s="3"/>
      <c r="C101" s="5" t="s">
        <v>50</v>
      </c>
      <c r="D101" s="5" t="s">
        <v>50</v>
      </c>
      <c r="E101" s="5" t="s">
        <v>48</v>
      </c>
      <c r="F101" s="5" t="s">
        <v>50</v>
      </c>
      <c r="G101" s="5" t="s">
        <v>50</v>
      </c>
      <c r="H101" s="5" t="s">
        <v>50</v>
      </c>
      <c r="I101" s="5" t="s">
        <v>50</v>
      </c>
      <c r="J101" s="5" t="s">
        <v>50</v>
      </c>
      <c r="K101" s="5" t="s">
        <v>50</v>
      </c>
      <c r="L101" s="5" t="s">
        <v>50</v>
      </c>
      <c r="M101" s="5" t="s">
        <v>50</v>
      </c>
      <c r="N101" s="5" t="s">
        <v>50</v>
      </c>
      <c r="O101" s="5" t="s">
        <v>50</v>
      </c>
      <c r="P101" s="5" t="s">
        <v>50</v>
      </c>
      <c r="Q101" s="3"/>
      <c r="R101" s="3"/>
      <c r="S101" s="3"/>
      <c r="T101" s="3"/>
      <c r="U101" s="3"/>
      <c r="V101" s="3"/>
    </row>
    <row r="102" spans="1:22" hidden="1">
      <c r="A102" s="3" t="s">
        <v>53</v>
      </c>
      <c r="B102" s="3"/>
      <c r="C102" s="3">
        <f>IF(C101="",0,IF(C101=C100,1,-0.25))</f>
        <v>-0.25</v>
      </c>
      <c r="D102" s="3">
        <f t="shared" ref="D102:P102" si="9">IF(D101="",0,IF(D101=D100,1,-0.25))</f>
        <v>-0.25</v>
      </c>
      <c r="E102" s="3">
        <f t="shared" si="9"/>
        <v>-0.25</v>
      </c>
      <c r="F102" s="3">
        <f t="shared" si="9"/>
        <v>-0.25</v>
      </c>
      <c r="G102" s="3">
        <f t="shared" si="9"/>
        <v>-0.25</v>
      </c>
      <c r="H102" s="3">
        <f t="shared" si="9"/>
        <v>-0.25</v>
      </c>
      <c r="I102" s="3">
        <f t="shared" si="9"/>
        <v>-0.25</v>
      </c>
      <c r="J102" s="3">
        <f t="shared" si="9"/>
        <v>-0.25</v>
      </c>
      <c r="K102" s="3">
        <f t="shared" si="9"/>
        <v>-0.25</v>
      </c>
      <c r="L102" s="3">
        <f t="shared" si="9"/>
        <v>-0.25</v>
      </c>
      <c r="M102" s="3">
        <f t="shared" si="9"/>
        <v>-0.25</v>
      </c>
      <c r="N102" s="3">
        <f t="shared" si="9"/>
        <v>-0.25</v>
      </c>
      <c r="O102" s="3">
        <f t="shared" si="9"/>
        <v>-0.25</v>
      </c>
      <c r="P102" s="3">
        <f t="shared" si="9"/>
        <v>-0.25</v>
      </c>
      <c r="Q102" s="3"/>
      <c r="R102" s="3"/>
      <c r="S102" s="3"/>
      <c r="T102" s="3"/>
      <c r="U102" s="3"/>
      <c r="V102" s="3"/>
    </row>
  </sheetData>
  <sheetProtection pivotTables="0"/>
  <mergeCells count="37">
    <mergeCell ref="E1:O1"/>
    <mergeCell ref="Q1:W1"/>
    <mergeCell ref="E2:H2"/>
    <mergeCell ref="I2:O2"/>
    <mergeCell ref="Q2:R2"/>
    <mergeCell ref="S2:W2"/>
    <mergeCell ref="F4:O4"/>
    <mergeCell ref="I5:J5"/>
    <mergeCell ref="I7:J7"/>
    <mergeCell ref="N7:O7"/>
    <mergeCell ref="A10:J10"/>
    <mergeCell ref="M10:V10"/>
    <mergeCell ref="H11:J13"/>
    <mergeCell ref="H19:S19"/>
    <mergeCell ref="A27:W27"/>
    <mergeCell ref="A28:E28"/>
    <mergeCell ref="G28:N28"/>
    <mergeCell ref="P28:W28"/>
    <mergeCell ref="V29:W30"/>
    <mergeCell ref="B31:C31"/>
    <mergeCell ref="J31:L31"/>
    <mergeCell ref="P31:Q31"/>
    <mergeCell ref="R31:T31"/>
    <mergeCell ref="V31:W31"/>
    <mergeCell ref="B29:C30"/>
    <mergeCell ref="D29:D30"/>
    <mergeCell ref="E29:E30"/>
    <mergeCell ref="R29:T30"/>
    <mergeCell ref="A29:A30"/>
    <mergeCell ref="G29:I29"/>
    <mergeCell ref="J29:M29"/>
    <mergeCell ref="U29:U30"/>
    <mergeCell ref="A37:B37"/>
    <mergeCell ref="A44:B44"/>
    <mergeCell ref="A56:B56"/>
    <mergeCell ref="N29:N30"/>
    <mergeCell ref="P29:Q30"/>
  </mergeCells>
  <dataValidations count="1">
    <dataValidation type="list" allowBlank="1" showInputMessage="1" showErrorMessage="1" sqref="C37:V37 C44:V44 C49:F49 C56:V56 C61:Q61 C68:J68 C75:V75 C80:F80 C87:R87 C94:U94 C101:P101">
      <formula1>$Y$54:$Y$59</formula1>
    </dataValidation>
  </dataValidations>
  <pageMargins left="0.25" right="0.25" top="0.75" bottom="0.75" header="0.3" footer="0.3"/>
  <pageSetup orientation="landscape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Scorereport">
                <anchor moveWithCells="1" sizeWithCells="1">
                  <from>
                    <xdr:col>0</xdr:col>
                    <xdr:colOff>101600</xdr:colOff>
                    <xdr:row>4</xdr:row>
                    <xdr:rowOff>190500</xdr:rowOff>
                  </from>
                  <to>
                    <xdr:col>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/>
  <dimension ref="A1:Z102"/>
  <sheetViews>
    <sheetView workbookViewId="0">
      <selection activeCell="L39" sqref="L39"/>
    </sheetView>
  </sheetViews>
  <sheetFormatPr baseColWidth="10" defaultColWidth="5.1640625" defaultRowHeight="15" x14ac:dyDescent="0"/>
  <cols>
    <col min="1" max="1" width="5.5" customWidth="1"/>
    <col min="3" max="3" width="5.1640625" customWidth="1"/>
    <col min="4" max="4" width="5.6640625" customWidth="1"/>
    <col min="5" max="5" width="6.1640625" customWidth="1"/>
    <col min="6" max="6" width="4.6640625" customWidth="1"/>
    <col min="7" max="7" width="6.6640625" customWidth="1"/>
    <col min="8" max="8" width="6.1640625" customWidth="1"/>
    <col min="10" max="10" width="4.83203125" customWidth="1"/>
    <col min="11" max="11" width="4.1640625" customWidth="1"/>
    <col min="12" max="12" width="5.1640625" customWidth="1"/>
    <col min="13" max="13" width="7.1640625" customWidth="1"/>
    <col min="14" max="14" width="5.83203125" customWidth="1"/>
    <col min="15" max="15" width="4" customWidth="1"/>
    <col min="17" max="17" width="5.1640625" customWidth="1"/>
    <col min="18" max="18" width="4.5" customWidth="1"/>
    <col min="19" max="19" width="4.6640625" customWidth="1"/>
    <col min="21" max="21" width="5.1640625" customWidth="1"/>
    <col min="22" max="22" width="4.6640625" customWidth="1"/>
    <col min="23" max="23" width="7.5" customWidth="1"/>
    <col min="24" max="24" width="11.1640625" hidden="1" customWidth="1"/>
    <col min="25" max="26" width="5.1640625" hidden="1" customWidth="1"/>
  </cols>
  <sheetData>
    <row r="1" spans="1:23" ht="19" thickBot="1">
      <c r="A1" s="25"/>
      <c r="B1" s="25"/>
      <c r="C1" s="25"/>
      <c r="E1" s="185" t="s">
        <v>83</v>
      </c>
      <c r="F1" s="185"/>
      <c r="G1" s="185"/>
      <c r="H1" s="185"/>
      <c r="I1" s="185"/>
      <c r="J1" s="185"/>
      <c r="K1" s="185"/>
      <c r="L1" s="185"/>
      <c r="M1" s="185"/>
      <c r="N1" s="185"/>
      <c r="O1" s="185"/>
      <c r="Q1" s="186" t="s">
        <v>24</v>
      </c>
      <c r="R1" s="187"/>
      <c r="S1" s="187"/>
      <c r="T1" s="187"/>
      <c r="U1" s="187"/>
      <c r="V1" s="187"/>
      <c r="W1" s="188"/>
    </row>
    <row r="2" spans="1:23" ht="18">
      <c r="A2" s="25"/>
      <c r="B2" s="25"/>
      <c r="C2" s="25"/>
      <c r="E2" s="189" t="s">
        <v>84</v>
      </c>
      <c r="F2" s="189"/>
      <c r="G2" s="189"/>
      <c r="H2" s="189"/>
      <c r="I2" s="190" t="s">
        <v>144</v>
      </c>
      <c r="J2" s="190"/>
      <c r="K2" s="190"/>
      <c r="L2" s="190"/>
      <c r="M2" s="190"/>
      <c r="N2" s="190"/>
      <c r="O2" s="190"/>
      <c r="Q2" s="191" t="s">
        <v>80</v>
      </c>
      <c r="R2" s="192"/>
      <c r="S2" s="193" t="s">
        <v>81</v>
      </c>
      <c r="T2" s="194"/>
      <c r="U2" s="194"/>
      <c r="V2" s="194"/>
      <c r="W2" s="195"/>
    </row>
    <row r="3" spans="1:23" ht="16" thickBot="1">
      <c r="F3" s="58"/>
      <c r="G3" s="58"/>
      <c r="H3" s="58"/>
      <c r="I3" s="58"/>
      <c r="Q3" s="29" t="s">
        <v>25</v>
      </c>
      <c r="R3" s="30"/>
      <c r="S3" s="27" t="s">
        <v>31</v>
      </c>
      <c r="T3" s="28"/>
      <c r="U3" s="28"/>
      <c r="V3" s="28"/>
      <c r="W3" s="31"/>
    </row>
    <row r="4" spans="1:23" ht="16" thickBot="1">
      <c r="F4" s="172" t="s">
        <v>85</v>
      </c>
      <c r="G4" s="173"/>
      <c r="H4" s="173"/>
      <c r="I4" s="173"/>
      <c r="J4" s="173"/>
      <c r="K4" s="173"/>
      <c r="L4" s="173"/>
      <c r="M4" s="173"/>
      <c r="N4" s="173"/>
      <c r="O4" s="174"/>
      <c r="Q4" s="29" t="s">
        <v>26</v>
      </c>
      <c r="R4" s="30"/>
      <c r="S4" s="27" t="s">
        <v>30</v>
      </c>
      <c r="T4" s="28"/>
      <c r="U4" s="28"/>
      <c r="V4" s="28"/>
      <c r="W4" s="31"/>
    </row>
    <row r="5" spans="1:23">
      <c r="F5" s="59" t="s">
        <v>12</v>
      </c>
      <c r="G5" s="60"/>
      <c r="H5" s="60"/>
      <c r="I5" s="175">
        <f>E12</f>
        <v>210</v>
      </c>
      <c r="J5" s="175"/>
      <c r="K5" s="60" t="s">
        <v>15</v>
      </c>
      <c r="L5" s="61"/>
      <c r="M5" s="60"/>
      <c r="N5" s="60"/>
      <c r="O5" s="62">
        <f>Q12</f>
        <v>250</v>
      </c>
      <c r="Q5" s="29" t="s">
        <v>27</v>
      </c>
      <c r="R5" s="30"/>
      <c r="S5" s="27" t="s">
        <v>32</v>
      </c>
      <c r="T5" s="28"/>
      <c r="U5" s="28"/>
      <c r="V5" s="28"/>
      <c r="W5" s="31"/>
    </row>
    <row r="6" spans="1:23" ht="16" thickBot="1">
      <c r="F6" s="66"/>
      <c r="G6" s="61"/>
      <c r="H6" s="61"/>
      <c r="I6" s="61"/>
      <c r="J6" s="61"/>
      <c r="K6" s="60" t="s">
        <v>14</v>
      </c>
      <c r="L6" s="60"/>
      <c r="M6" s="60"/>
      <c r="N6" s="61"/>
      <c r="O6" s="62">
        <f>L21</f>
        <v>210</v>
      </c>
      <c r="Q6" s="29" t="s">
        <v>28</v>
      </c>
      <c r="R6" s="30"/>
      <c r="S6" s="27" t="s">
        <v>33</v>
      </c>
      <c r="T6" s="28"/>
      <c r="U6" s="28"/>
      <c r="V6" s="28"/>
      <c r="W6" s="31"/>
    </row>
    <row r="7" spans="1:23" ht="16" thickBot="1">
      <c r="F7" s="63" t="s">
        <v>16</v>
      </c>
      <c r="G7" s="64"/>
      <c r="H7" s="64"/>
      <c r="I7" s="176">
        <f>I5+O5</f>
        <v>460</v>
      </c>
      <c r="J7" s="176"/>
      <c r="K7" s="65" t="s">
        <v>17</v>
      </c>
      <c r="L7" s="64"/>
      <c r="M7" s="64"/>
      <c r="N7" s="177">
        <f>I5+O5+O6</f>
        <v>670</v>
      </c>
      <c r="O7" s="178"/>
      <c r="Q7" s="32" t="s">
        <v>29</v>
      </c>
      <c r="R7" s="33"/>
      <c r="S7" s="34" t="s">
        <v>34</v>
      </c>
      <c r="T7" s="35"/>
      <c r="U7" s="35"/>
      <c r="V7" s="35"/>
      <c r="W7" s="36"/>
    </row>
    <row r="9" spans="1:23" ht="6" customHeight="1" thickBot="1"/>
    <row r="10" spans="1:23" ht="16" thickBot="1">
      <c r="A10" s="179" t="s">
        <v>12</v>
      </c>
      <c r="B10" s="180"/>
      <c r="C10" s="180"/>
      <c r="D10" s="180"/>
      <c r="E10" s="180"/>
      <c r="F10" s="180"/>
      <c r="G10" s="180"/>
      <c r="H10" s="180"/>
      <c r="I10" s="180"/>
      <c r="J10" s="181"/>
      <c r="K10" s="25"/>
      <c r="L10" s="25"/>
      <c r="M10" s="182" t="s">
        <v>82</v>
      </c>
      <c r="N10" s="183"/>
      <c r="O10" s="183"/>
      <c r="P10" s="183"/>
      <c r="Q10" s="183"/>
      <c r="R10" s="183"/>
      <c r="S10" s="183"/>
      <c r="T10" s="183"/>
      <c r="U10" s="183"/>
      <c r="V10" s="184"/>
    </row>
    <row r="11" spans="1:23" ht="15.75" customHeight="1">
      <c r="A11" s="102"/>
      <c r="B11" s="103" t="s">
        <v>35</v>
      </c>
      <c r="C11" s="103" t="s">
        <v>36</v>
      </c>
      <c r="D11" s="103"/>
      <c r="E11" s="103" t="s">
        <v>18</v>
      </c>
      <c r="F11" s="103"/>
      <c r="G11" s="103"/>
      <c r="H11" s="155" t="s">
        <v>42</v>
      </c>
      <c r="I11" s="155"/>
      <c r="J11" s="156"/>
      <c r="K11" s="25"/>
      <c r="L11" s="25"/>
      <c r="M11" s="39"/>
      <c r="N11" s="40" t="s">
        <v>35</v>
      </c>
      <c r="O11" s="40" t="s">
        <v>36</v>
      </c>
      <c r="P11" s="40"/>
      <c r="Q11" s="40" t="s">
        <v>82</v>
      </c>
      <c r="R11" s="40"/>
      <c r="S11" s="40"/>
      <c r="T11" s="40"/>
      <c r="U11" s="40"/>
      <c r="V11" s="41"/>
    </row>
    <row r="12" spans="1:23">
      <c r="A12" s="102"/>
      <c r="B12" s="103">
        <f>SUM(C38:V38,C69:T69,C95:R95)</f>
        <v>0</v>
      </c>
      <c r="C12" s="103">
        <f>ROUND(B12,0)</f>
        <v>0</v>
      </c>
      <c r="D12" s="103"/>
      <c r="E12" s="103">
        <f>VLOOKUP(C12,Tables!A3:D75,3,TRUE)</f>
        <v>210</v>
      </c>
      <c r="F12" s="103"/>
      <c r="G12" s="103"/>
      <c r="H12" s="157"/>
      <c r="I12" s="157"/>
      <c r="J12" s="158"/>
      <c r="K12" s="25"/>
      <c r="L12" s="25"/>
      <c r="M12" s="39"/>
      <c r="N12" s="40">
        <f>SUM(C45:V45,C50:F50,C76:V76,C81:F81,C88:U88)</f>
        <v>0</v>
      </c>
      <c r="O12" s="40">
        <f>ROUND(N12,0)</f>
        <v>0</v>
      </c>
      <c r="P12" s="40"/>
      <c r="Q12" s="40">
        <f>VLOOKUP(O12,Tables!A3:D75,2,TRUE)</f>
        <v>250</v>
      </c>
      <c r="R12" s="40"/>
      <c r="S12" s="40"/>
      <c r="T12" s="40"/>
      <c r="U12" s="40"/>
      <c r="V12" s="41"/>
    </row>
    <row r="13" spans="1:23">
      <c r="A13" s="102" t="s">
        <v>37</v>
      </c>
      <c r="B13" s="103"/>
      <c r="C13" s="103" t="s">
        <v>38</v>
      </c>
      <c r="D13" s="104" t="s">
        <v>39</v>
      </c>
      <c r="E13" s="103"/>
      <c r="F13" s="103" t="s">
        <v>40</v>
      </c>
      <c r="G13" s="103"/>
      <c r="H13" s="157"/>
      <c r="I13" s="157"/>
      <c r="J13" s="158"/>
      <c r="K13" s="25"/>
      <c r="L13" s="25"/>
      <c r="M13" s="112" t="s">
        <v>37</v>
      </c>
      <c r="N13" s="113"/>
      <c r="O13" s="113"/>
      <c r="P13" s="113" t="s">
        <v>38</v>
      </c>
      <c r="Q13" s="113" t="s">
        <v>39</v>
      </c>
      <c r="R13" s="113"/>
      <c r="S13" s="113" t="s">
        <v>40</v>
      </c>
      <c r="T13" s="113"/>
      <c r="U13" s="113" t="s">
        <v>41</v>
      </c>
      <c r="V13" s="114"/>
    </row>
    <row r="14" spans="1:23">
      <c r="A14" s="105" t="s">
        <v>19</v>
      </c>
      <c r="B14" s="106"/>
      <c r="C14" s="106">
        <f>COUNTIF($C$35:$V$35,"g")+COUNTIF($C$66:$T$66,"g")+COUNTIF($C$85:$R$85,"g")</f>
        <v>12</v>
      </c>
      <c r="D14" s="106">
        <v>0</v>
      </c>
      <c r="E14" s="106"/>
      <c r="F14" s="106">
        <v>1</v>
      </c>
      <c r="G14" s="106"/>
      <c r="H14" s="107">
        <f>D14/(F14+D14)</f>
        <v>0</v>
      </c>
      <c r="I14" s="103"/>
      <c r="J14" s="108"/>
      <c r="K14" s="25"/>
      <c r="L14" s="25"/>
      <c r="M14" s="42" t="s">
        <v>44</v>
      </c>
      <c r="N14" s="37"/>
      <c r="O14" s="37"/>
      <c r="P14" s="37">
        <f>COUNTIF($C$42:$V$42,"sc")+COUNTIF($C$47:$F$47,"sc")+COUNTIF($C$73:$V$73,"sc")+COUNTIF($C$78:$F$78,"sc")+COUNTIF($C$92:$U92,"sc")</f>
        <v>19</v>
      </c>
      <c r="Q14" s="37">
        <v>5</v>
      </c>
      <c r="R14" s="37"/>
      <c r="S14" s="37">
        <v>0</v>
      </c>
      <c r="T14" s="37"/>
      <c r="U14" s="38">
        <f>Q14/(S14+Q14)</f>
        <v>1</v>
      </c>
      <c r="V14" s="43"/>
    </row>
    <row r="15" spans="1:23">
      <c r="A15" s="105" t="s">
        <v>20</v>
      </c>
      <c r="B15" s="106"/>
      <c r="C15" s="106">
        <f>COUNTIF($C$35:$V$35,"n")+COUNTIF($C$66:$T$66,"n")+COUNTIF($C$85:$R$85,"n")</f>
        <v>7</v>
      </c>
      <c r="D15" s="106">
        <v>0</v>
      </c>
      <c r="E15" s="106"/>
      <c r="F15" s="106">
        <v>2</v>
      </c>
      <c r="G15" s="106"/>
      <c r="H15" s="107">
        <f>D15/(F15+D15)</f>
        <v>0</v>
      </c>
      <c r="I15" s="103"/>
      <c r="J15" s="108"/>
      <c r="K15" s="25"/>
      <c r="L15" s="25"/>
      <c r="M15" s="42" t="s">
        <v>43</v>
      </c>
      <c r="N15" s="37"/>
      <c r="O15" s="37"/>
      <c r="P15" s="37">
        <f>COUNTIF($C$42:$V$42,"pb")+COUNTIF($C$47:$F$47,"pb")+COUNTIF($C$73:$V$73,"pb")+COUNTIF($C$78:$F$78,"pb")+COUNTIF($C$92:$U92,"pb")</f>
        <v>48</v>
      </c>
      <c r="Q15" s="37">
        <v>15</v>
      </c>
      <c r="R15" s="37"/>
      <c r="S15" s="37">
        <v>0</v>
      </c>
      <c r="T15" s="37"/>
      <c r="U15" s="38">
        <f>Q15/(S15+Q15)</f>
        <v>1</v>
      </c>
      <c r="V15" s="43"/>
    </row>
    <row r="16" spans="1:23">
      <c r="A16" s="105" t="s">
        <v>21</v>
      </c>
      <c r="B16" s="106"/>
      <c r="C16" s="106">
        <f>COUNTIF($C$35:$V$35,"l")+COUNTIF($C$66:$T$66,"l")+COUNTIF($C$85:$R$85,"l")</f>
        <v>3</v>
      </c>
      <c r="D16" s="106">
        <v>0</v>
      </c>
      <c r="E16" s="106"/>
      <c r="F16" s="106">
        <v>1</v>
      </c>
      <c r="G16" s="106"/>
      <c r="H16" s="107">
        <f>D16/(F16+D16)</f>
        <v>0</v>
      </c>
      <c r="I16" s="103"/>
      <c r="J16" s="108"/>
      <c r="K16" s="25"/>
      <c r="L16" s="25"/>
      <c r="M16" s="39"/>
      <c r="N16" s="40"/>
      <c r="O16" s="40"/>
      <c r="P16" s="40"/>
      <c r="Q16" s="40"/>
      <c r="R16" s="40"/>
      <c r="S16" s="40"/>
      <c r="T16" s="40"/>
      <c r="U16" s="40"/>
      <c r="V16" s="41"/>
    </row>
    <row r="17" spans="1:23">
      <c r="A17" s="105" t="s">
        <v>22</v>
      </c>
      <c r="B17" s="106"/>
      <c r="C17" s="106">
        <f>COUNTIF($C$35:$V$35,"a")+COUNTIF($C$66:$T$66,"a")+COUNTIF($C$85:$R$85,"a")</f>
        <v>26</v>
      </c>
      <c r="D17" s="106">
        <v>0</v>
      </c>
      <c r="E17" s="106"/>
      <c r="F17" s="106">
        <v>5</v>
      </c>
      <c r="G17" s="106"/>
      <c r="H17" s="107">
        <f>D17/(F17+D17)</f>
        <v>0</v>
      </c>
      <c r="I17" s="103"/>
      <c r="J17" s="108"/>
      <c r="K17" s="25"/>
      <c r="L17" s="25"/>
      <c r="M17" s="39"/>
      <c r="N17" s="40"/>
      <c r="O17" s="40"/>
      <c r="P17" s="40"/>
      <c r="Q17" s="40"/>
      <c r="R17" s="40"/>
      <c r="S17" s="40"/>
      <c r="T17" s="40"/>
      <c r="U17" s="40"/>
      <c r="V17" s="41"/>
    </row>
    <row r="18" spans="1:23" ht="16" thickBot="1">
      <c r="A18" s="109" t="s">
        <v>23</v>
      </c>
      <c r="B18" s="110"/>
      <c r="C18" s="110">
        <f>COUNTIF($C$35:$V$35,"d")+COUNTIF($C$66:$T$66,"d")+COUNTIF($C$85:$R$85,"d")</f>
        <v>6</v>
      </c>
      <c r="D18" s="110">
        <v>0</v>
      </c>
      <c r="E18" s="110"/>
      <c r="F18" s="110">
        <v>1</v>
      </c>
      <c r="G18" s="110"/>
      <c r="H18" s="111">
        <f>D18/(F18+D18)</f>
        <v>0</v>
      </c>
      <c r="I18" s="103"/>
      <c r="J18" s="108"/>
      <c r="K18" s="25"/>
      <c r="L18" s="25"/>
      <c r="M18" s="39"/>
      <c r="N18" s="40"/>
      <c r="O18" s="40"/>
      <c r="P18" s="40"/>
      <c r="Q18" s="40"/>
      <c r="R18" s="40"/>
      <c r="S18" s="40"/>
      <c r="T18" s="44"/>
      <c r="U18" s="44"/>
      <c r="V18" s="45"/>
    </row>
    <row r="19" spans="1:23" ht="16" thickBot="1">
      <c r="H19" s="159" t="s">
        <v>14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1"/>
    </row>
    <row r="20" spans="1:23">
      <c r="H20" s="46"/>
      <c r="I20" s="47" t="s">
        <v>35</v>
      </c>
      <c r="J20" s="47" t="s">
        <v>36</v>
      </c>
      <c r="K20" s="47"/>
      <c r="L20" s="47" t="s">
        <v>63</v>
      </c>
      <c r="M20" s="47"/>
      <c r="N20" s="47"/>
      <c r="O20" s="47" t="s">
        <v>76</v>
      </c>
      <c r="P20" s="47"/>
      <c r="Q20" s="47"/>
      <c r="R20" s="47"/>
      <c r="S20" s="48"/>
    </row>
    <row r="21" spans="1:23">
      <c r="H21" s="46"/>
      <c r="I21" s="47">
        <f>SUM(C57:V57,C62:Q62,C102:P102)</f>
        <v>-3.5</v>
      </c>
      <c r="J21" s="47">
        <f>ROUND(I21,0)</f>
        <v>-4</v>
      </c>
      <c r="K21" s="47"/>
      <c r="L21" s="47">
        <f>INDEX(Tables!F12:R74, MATCH(J21,Tables!F12:F74,0), MATCH(O21,Tables!F12:R12,0))</f>
        <v>210</v>
      </c>
      <c r="M21" s="47"/>
      <c r="N21" s="47"/>
      <c r="O21" s="49">
        <v>6</v>
      </c>
      <c r="P21" s="47"/>
      <c r="Q21" s="47"/>
      <c r="R21" s="47"/>
      <c r="S21" s="48"/>
    </row>
    <row r="22" spans="1:23">
      <c r="H22" s="115" t="s">
        <v>37</v>
      </c>
      <c r="I22" s="116"/>
      <c r="J22" s="116"/>
      <c r="K22" s="116"/>
      <c r="L22" s="116"/>
      <c r="M22" s="117" t="s">
        <v>38</v>
      </c>
      <c r="N22" s="116" t="s">
        <v>39</v>
      </c>
      <c r="O22" s="116"/>
      <c r="P22" s="116" t="s">
        <v>40</v>
      </c>
      <c r="Q22" s="116"/>
      <c r="R22" s="116" t="s">
        <v>41</v>
      </c>
      <c r="S22" s="118"/>
    </row>
    <row r="23" spans="1:23">
      <c r="H23" s="52" t="s">
        <v>45</v>
      </c>
      <c r="I23" s="50"/>
      <c r="J23" s="50"/>
      <c r="K23" s="50"/>
      <c r="L23" s="50"/>
      <c r="M23" s="50">
        <f>COUNTIF($C$54:$V$54,"is")+COUNTIF($C$59:$Q$59,"is")+COUNTIF($C$99:$P$99,"is")</f>
        <v>25</v>
      </c>
      <c r="N23" s="50">
        <v>0</v>
      </c>
      <c r="O23" s="50"/>
      <c r="P23" s="50">
        <v>25</v>
      </c>
      <c r="Q23" s="50"/>
      <c r="R23" s="51">
        <f>N23/(P23+N23)</f>
        <v>0</v>
      </c>
      <c r="S23" s="53"/>
    </row>
    <row r="24" spans="1:23">
      <c r="H24" s="52" t="s">
        <v>46</v>
      </c>
      <c r="I24" s="50"/>
      <c r="J24" s="50"/>
      <c r="K24" s="50"/>
      <c r="L24" s="50"/>
      <c r="M24" s="50">
        <f>COUNTIF($C$54:$V$54,"ip")+COUNTIF($C$59:$Q$59,"ip")+COUNTIF($C$99:$P$99,"ip")</f>
        <v>6</v>
      </c>
      <c r="N24" s="50">
        <v>0</v>
      </c>
      <c r="O24" s="50"/>
      <c r="P24" s="50">
        <v>6</v>
      </c>
      <c r="Q24" s="50"/>
      <c r="R24" s="51">
        <f>N24/(P24+N24)</f>
        <v>0</v>
      </c>
      <c r="S24" s="53"/>
    </row>
    <row r="25" spans="1:23" ht="16" thickBot="1">
      <c r="H25" s="54" t="s">
        <v>47</v>
      </c>
      <c r="I25" s="55"/>
      <c r="J25" s="55"/>
      <c r="K25" s="55"/>
      <c r="L25" s="55"/>
      <c r="M25" s="55">
        <f>COUNTIF($C$54:$V$54,"ise")+COUNTIF($C$59:$Q$59,"ise")+COUNTIF($C$99:$P$99,"ise")</f>
        <v>18</v>
      </c>
      <c r="N25" s="55">
        <v>0</v>
      </c>
      <c r="O25" s="55"/>
      <c r="P25" s="55">
        <v>18</v>
      </c>
      <c r="Q25" s="55"/>
      <c r="R25" s="56">
        <f>N25/(P25+N25)</f>
        <v>0</v>
      </c>
      <c r="S25" s="57"/>
    </row>
    <row r="26" spans="1:23" ht="4.5" customHeight="1"/>
    <row r="27" spans="1:23" ht="16" thickBot="1">
      <c r="A27" s="162" t="s">
        <v>86</v>
      </c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spans="1:23" ht="15.75" customHeight="1" thickBot="1">
      <c r="A28" s="163" t="s">
        <v>12</v>
      </c>
      <c r="B28" s="164"/>
      <c r="C28" s="164"/>
      <c r="D28" s="164"/>
      <c r="E28" s="165"/>
      <c r="F28" s="67"/>
      <c r="G28" s="166" t="s">
        <v>82</v>
      </c>
      <c r="H28" s="167"/>
      <c r="I28" s="167"/>
      <c r="J28" s="167"/>
      <c r="K28" s="167"/>
      <c r="L28" s="167"/>
      <c r="M28" s="167"/>
      <c r="N28" s="168"/>
      <c r="O28" s="68"/>
      <c r="P28" s="169" t="s">
        <v>14</v>
      </c>
      <c r="Q28" s="170"/>
      <c r="R28" s="170"/>
      <c r="S28" s="170"/>
      <c r="T28" s="170"/>
      <c r="U28" s="170"/>
      <c r="V28" s="170"/>
      <c r="W28" s="171"/>
    </row>
    <row r="29" spans="1:23" ht="15.75" customHeight="1">
      <c r="A29" s="138" t="s">
        <v>87</v>
      </c>
      <c r="B29" s="151" t="s">
        <v>88</v>
      </c>
      <c r="C29" s="151"/>
      <c r="D29" s="151" t="s">
        <v>89</v>
      </c>
      <c r="E29" s="153" t="s">
        <v>70</v>
      </c>
      <c r="F29" s="67"/>
      <c r="G29" s="140" t="s">
        <v>90</v>
      </c>
      <c r="H29" s="141"/>
      <c r="I29" s="141"/>
      <c r="J29" s="141" t="s">
        <v>43</v>
      </c>
      <c r="K29" s="141"/>
      <c r="L29" s="141"/>
      <c r="M29" s="141"/>
      <c r="N29" s="132" t="s">
        <v>70</v>
      </c>
      <c r="O29" s="68"/>
      <c r="P29" s="134" t="s">
        <v>91</v>
      </c>
      <c r="Q29" s="135"/>
      <c r="R29" s="135" t="s">
        <v>92</v>
      </c>
      <c r="S29" s="135"/>
      <c r="T29" s="135"/>
      <c r="U29" s="135" t="s">
        <v>93</v>
      </c>
      <c r="V29" s="135" t="s">
        <v>70</v>
      </c>
      <c r="W29" s="142"/>
    </row>
    <row r="30" spans="1:23" ht="14.25" customHeight="1">
      <c r="A30" s="139"/>
      <c r="B30" s="152"/>
      <c r="C30" s="152"/>
      <c r="D30" s="152"/>
      <c r="E30" s="154"/>
      <c r="F30" s="67"/>
      <c r="G30" s="72" t="s">
        <v>94</v>
      </c>
      <c r="H30" s="69" t="s">
        <v>95</v>
      </c>
      <c r="I30" s="69" t="s">
        <v>96</v>
      </c>
      <c r="J30" s="70" t="s">
        <v>97</v>
      </c>
      <c r="K30" s="69"/>
      <c r="L30" s="69"/>
      <c r="M30" s="69" t="s">
        <v>98</v>
      </c>
      <c r="N30" s="133"/>
      <c r="O30" s="68"/>
      <c r="P30" s="136"/>
      <c r="Q30" s="137"/>
      <c r="R30" s="137"/>
      <c r="S30" s="137"/>
      <c r="T30" s="137"/>
      <c r="U30" s="137"/>
      <c r="V30" s="137"/>
      <c r="W30" s="143"/>
    </row>
    <row r="31" spans="1:23" ht="44.25" customHeight="1" thickBot="1">
      <c r="A31" s="75">
        <f>VLOOKUP(I5,Tables!H1:L9,4,TRUE)</f>
        <v>9</v>
      </c>
      <c r="B31" s="144" t="str">
        <f>VLOOKUP(I5,Tables!H1:L9,3,TRUE)</f>
        <v>4 MC, 5 GI</v>
      </c>
      <c r="C31" s="145"/>
      <c r="D31" s="76">
        <f>VLOOKUP(I5,Tables!H1:L9,2,TRUE)</f>
        <v>11</v>
      </c>
      <c r="E31" s="71">
        <f>VLOOKUP(I5,Tables!H1:L9,5,TRUE)</f>
        <v>530</v>
      </c>
      <c r="F31" s="67"/>
      <c r="G31" s="77">
        <f>VLOOKUP(Z48,Tables!A79:E87,2,TRUE)</f>
        <v>4</v>
      </c>
      <c r="H31" s="78">
        <f>VLOOKUP(Z48,Tables!A79:E87,3,TRUE)</f>
        <v>3</v>
      </c>
      <c r="I31" s="78">
        <f>VLOOKUP(Z48,Tables!A79:E87,4,TRUE)</f>
        <v>3</v>
      </c>
      <c r="J31" s="146" t="str">
        <f>VLOOKUP(Y48,Tables!G79:K87,3,TRUE)</f>
        <v>26 of 48</v>
      </c>
      <c r="K31" s="146"/>
      <c r="L31" s="146"/>
      <c r="M31" s="73">
        <f>VLOOKUP(Y48,Tables!G79:K87,4,TRUE)</f>
        <v>0.54</v>
      </c>
      <c r="N31" s="74">
        <f>VLOOKUP(Y48,Tables!G79:K87,5,TRUE)</f>
        <v>530</v>
      </c>
      <c r="O31" s="68"/>
      <c r="P31" s="147">
        <f>VLOOKUP(O6,Tables!M79:Q89,2,TRUE)</f>
        <v>7</v>
      </c>
      <c r="Q31" s="148"/>
      <c r="R31" s="148" t="str">
        <f>VLOOKUP(O6,Tables!M79:Q89,3,TRUE)</f>
        <v>12-22, 3 of #30-35</v>
      </c>
      <c r="S31" s="148"/>
      <c r="T31" s="148"/>
      <c r="U31" s="79">
        <f>VLOOKUP(O6,Tables!M79:Q89,4,TRUE)</f>
        <v>8</v>
      </c>
      <c r="V31" s="149">
        <f>VLOOKUP(O6,Tables!M79:Q89,5,TRUE)</f>
        <v>530</v>
      </c>
      <c r="W31" s="150"/>
    </row>
    <row r="32" spans="1:23">
      <c r="A32" s="9" t="s">
        <v>0</v>
      </c>
      <c r="B32" s="1"/>
      <c r="C32" s="9" t="s">
        <v>77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6">
      <c r="A34" s="1" t="s">
        <v>1</v>
      </c>
      <c r="B34" s="1"/>
      <c r="C34" s="24">
        <v>1</v>
      </c>
      <c r="D34" s="24">
        <v>2</v>
      </c>
      <c r="E34" s="24">
        <v>3</v>
      </c>
      <c r="F34" s="24">
        <v>4</v>
      </c>
      <c r="G34" s="24">
        <v>5</v>
      </c>
      <c r="H34" s="24">
        <v>6</v>
      </c>
      <c r="I34" s="24">
        <v>7</v>
      </c>
      <c r="J34" s="24">
        <v>8</v>
      </c>
      <c r="K34" s="24">
        <v>9</v>
      </c>
      <c r="L34" s="24">
        <v>10</v>
      </c>
      <c r="M34" s="24">
        <v>11</v>
      </c>
      <c r="N34" s="24">
        <v>12</v>
      </c>
      <c r="O34" s="24">
        <v>13</v>
      </c>
      <c r="P34" s="24">
        <v>14</v>
      </c>
      <c r="Q34" s="24">
        <v>15</v>
      </c>
      <c r="R34" s="24">
        <v>16</v>
      </c>
      <c r="S34" s="24">
        <v>17</v>
      </c>
      <c r="T34" s="24">
        <v>18</v>
      </c>
      <c r="U34" s="24">
        <v>19</v>
      </c>
      <c r="V34" s="24">
        <v>20</v>
      </c>
    </row>
    <row r="35" spans="1:26" ht="15" customHeight="1">
      <c r="A35" s="1" t="s">
        <v>2</v>
      </c>
      <c r="B35" s="1"/>
      <c r="C35" s="18" t="s">
        <v>50</v>
      </c>
      <c r="D35" s="18" t="s">
        <v>54</v>
      </c>
      <c r="E35" s="18" t="s">
        <v>55</v>
      </c>
      <c r="F35" s="18" t="s">
        <v>56</v>
      </c>
      <c r="G35" s="18" t="s">
        <v>50</v>
      </c>
      <c r="H35" s="18" t="s">
        <v>50</v>
      </c>
      <c r="I35" s="18" t="s">
        <v>50</v>
      </c>
      <c r="J35" s="18" t="s">
        <v>50</v>
      </c>
      <c r="K35" s="18" t="s">
        <v>50</v>
      </c>
      <c r="L35" s="18" t="s">
        <v>56</v>
      </c>
      <c r="M35" s="18" t="s">
        <v>50</v>
      </c>
      <c r="N35" s="18" t="s">
        <v>52</v>
      </c>
      <c r="O35" s="18" t="s">
        <v>50</v>
      </c>
      <c r="P35" s="18" t="s">
        <v>56</v>
      </c>
      <c r="Q35" s="18" t="s">
        <v>50</v>
      </c>
      <c r="R35" s="18" t="s">
        <v>50</v>
      </c>
      <c r="S35" s="18" t="s">
        <v>52</v>
      </c>
      <c r="T35" s="18" t="s">
        <v>56</v>
      </c>
      <c r="U35" s="18" t="s">
        <v>50</v>
      </c>
      <c r="V35" s="18" t="s">
        <v>54</v>
      </c>
    </row>
    <row r="36" spans="1:26" ht="15.75" customHeight="1">
      <c r="A36" s="1" t="s">
        <v>3</v>
      </c>
      <c r="B36" s="1"/>
      <c r="C36" s="1" t="s">
        <v>48</v>
      </c>
      <c r="D36" s="1" t="s">
        <v>48</v>
      </c>
      <c r="E36" s="1" t="s">
        <v>49</v>
      </c>
      <c r="F36" s="1" t="s">
        <v>50</v>
      </c>
      <c r="G36" s="1" t="s">
        <v>51</v>
      </c>
      <c r="H36" s="1" t="s">
        <v>48</v>
      </c>
      <c r="I36" s="1" t="s">
        <v>51</v>
      </c>
      <c r="J36" s="1" t="s">
        <v>50</v>
      </c>
      <c r="K36" s="1" t="s">
        <v>49</v>
      </c>
      <c r="L36" s="1" t="s">
        <v>48</v>
      </c>
      <c r="M36" s="1" t="s">
        <v>48</v>
      </c>
      <c r="N36" s="1" t="s">
        <v>48</v>
      </c>
      <c r="O36" s="1" t="s">
        <v>52</v>
      </c>
      <c r="P36" s="1" t="s">
        <v>48</v>
      </c>
      <c r="Q36" s="1" t="s">
        <v>51</v>
      </c>
      <c r="R36" s="1" t="s">
        <v>52</v>
      </c>
      <c r="S36" s="1" t="s">
        <v>50</v>
      </c>
      <c r="T36" s="1" t="s">
        <v>51</v>
      </c>
      <c r="U36" s="1" t="s">
        <v>48</v>
      </c>
      <c r="V36" s="1" t="s">
        <v>50</v>
      </c>
    </row>
    <row r="37" spans="1:26" ht="14.25" customHeight="1">
      <c r="A37" s="129" t="s">
        <v>4</v>
      </c>
      <c r="B37" s="129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Y37" t="s">
        <v>140</v>
      </c>
      <c r="Z37" t="s">
        <v>141</v>
      </c>
    </row>
    <row r="38" spans="1:26" ht="14.25" hidden="1" customHeight="1">
      <c r="A38" s="1" t="s">
        <v>53</v>
      </c>
      <c r="B38" s="1"/>
      <c r="C38" s="1">
        <f>IF(C37="",0,IF(C37=C36,1,-0.25))</f>
        <v>0</v>
      </c>
      <c r="D38" s="1">
        <f t="shared" ref="D38:V38" si="0">IF(D37="",0,IF(D37=D36,1,-0.25))</f>
        <v>0</v>
      </c>
      <c r="E38" s="1">
        <f t="shared" si="0"/>
        <v>0</v>
      </c>
      <c r="F38" s="1">
        <f t="shared" si="0"/>
        <v>0</v>
      </c>
      <c r="G38" s="1">
        <f t="shared" si="0"/>
        <v>0</v>
      </c>
      <c r="H38" s="1">
        <f t="shared" si="0"/>
        <v>0</v>
      </c>
      <c r="I38" s="1">
        <f t="shared" si="0"/>
        <v>0</v>
      </c>
      <c r="J38" s="1">
        <f t="shared" si="0"/>
        <v>0</v>
      </c>
      <c r="K38" s="1">
        <f t="shared" si="0"/>
        <v>0</v>
      </c>
      <c r="L38" s="1">
        <f t="shared" si="0"/>
        <v>0</v>
      </c>
      <c r="M38" s="1">
        <f t="shared" si="0"/>
        <v>0</v>
      </c>
      <c r="N38" s="1">
        <f t="shared" si="0"/>
        <v>0</v>
      </c>
      <c r="O38" s="1">
        <f t="shared" si="0"/>
        <v>0</v>
      </c>
      <c r="P38" s="1">
        <f t="shared" si="0"/>
        <v>0</v>
      </c>
      <c r="Q38" s="1">
        <f t="shared" si="0"/>
        <v>0</v>
      </c>
      <c r="R38" s="1">
        <f t="shared" si="0"/>
        <v>0</v>
      </c>
      <c r="S38" s="1">
        <f t="shared" si="0"/>
        <v>0</v>
      </c>
      <c r="T38" s="1">
        <f t="shared" si="0"/>
        <v>0</v>
      </c>
      <c r="U38" s="1">
        <f t="shared" si="0"/>
        <v>0</v>
      </c>
      <c r="V38" s="1">
        <f t="shared" si="0"/>
        <v>0</v>
      </c>
    </row>
    <row r="39" spans="1:26" ht="14.25" customHeight="1">
      <c r="A39" s="8" t="s">
        <v>5</v>
      </c>
      <c r="B39" s="2"/>
      <c r="C39" s="8" t="s">
        <v>78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Y39">
        <f>SUMIF(C42:V42,"=pb",C45:V45)</f>
        <v>0</v>
      </c>
      <c r="Z39" s="119">
        <f>SUMIF(C42:V42,"=sc",C45:V45)</f>
        <v>0</v>
      </c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Y40">
        <f>SUMIF(C47:F47,"=pb",C50:F50)</f>
        <v>0</v>
      </c>
      <c r="Z40">
        <f>SUMIF(C47:F47,"=sc",C50:F50)</f>
        <v>0</v>
      </c>
    </row>
    <row r="41" spans="1:26">
      <c r="A41" s="2" t="s">
        <v>1</v>
      </c>
      <c r="B41" s="2"/>
      <c r="C41" s="23">
        <v>1</v>
      </c>
      <c r="D41" s="23">
        <v>2</v>
      </c>
      <c r="E41" s="23">
        <v>3</v>
      </c>
      <c r="F41" s="23">
        <v>4</v>
      </c>
      <c r="G41" s="23">
        <v>5</v>
      </c>
      <c r="H41" s="23">
        <v>6</v>
      </c>
      <c r="I41" s="23">
        <v>7</v>
      </c>
      <c r="J41" s="23">
        <v>8</v>
      </c>
      <c r="K41" s="23">
        <v>9</v>
      </c>
      <c r="L41" s="23">
        <v>10</v>
      </c>
      <c r="M41" s="23">
        <v>11</v>
      </c>
      <c r="N41" s="23">
        <v>12</v>
      </c>
      <c r="O41" s="23">
        <v>13</v>
      </c>
      <c r="P41" s="23">
        <v>14</v>
      </c>
      <c r="Q41" s="23">
        <v>15</v>
      </c>
      <c r="R41" s="23">
        <v>16</v>
      </c>
      <c r="S41" s="23">
        <v>17</v>
      </c>
      <c r="T41" s="23">
        <v>18</v>
      </c>
      <c r="U41" s="23">
        <v>19</v>
      </c>
      <c r="V41" s="23">
        <v>20</v>
      </c>
      <c r="Y41">
        <f>SUMIF(C73:V73,"=pb",C76:V76)</f>
        <v>0</v>
      </c>
      <c r="Z41">
        <f>SUMIF(C73:V73,"=sc",C76:V76)</f>
        <v>0</v>
      </c>
    </row>
    <row r="42" spans="1:26">
      <c r="A42" s="2" t="s">
        <v>2</v>
      </c>
      <c r="B42" s="2"/>
      <c r="C42" s="19" t="s">
        <v>57</v>
      </c>
      <c r="D42" s="19" t="s">
        <v>57</v>
      </c>
      <c r="E42" s="19" t="s">
        <v>57</v>
      </c>
      <c r="F42" s="19" t="s">
        <v>57</v>
      </c>
      <c r="G42" s="19" t="s">
        <v>57</v>
      </c>
      <c r="H42" s="19" t="s">
        <v>58</v>
      </c>
      <c r="I42" s="19" t="s">
        <v>58</v>
      </c>
      <c r="J42" s="19" t="s">
        <v>58</v>
      </c>
      <c r="K42" s="19" t="s">
        <v>58</v>
      </c>
      <c r="L42" s="19" t="s">
        <v>58</v>
      </c>
      <c r="M42" s="19" t="s">
        <v>58</v>
      </c>
      <c r="N42" s="19" t="s">
        <v>58</v>
      </c>
      <c r="O42" s="19" t="s">
        <v>58</v>
      </c>
      <c r="P42" s="19" t="s">
        <v>58</v>
      </c>
      <c r="Q42" s="19" t="s">
        <v>58</v>
      </c>
      <c r="R42" s="19" t="s">
        <v>58</v>
      </c>
      <c r="S42" s="19" t="s">
        <v>58</v>
      </c>
      <c r="T42" s="19" t="s">
        <v>58</v>
      </c>
      <c r="U42" s="19" t="s">
        <v>58</v>
      </c>
      <c r="V42" s="19" t="s">
        <v>58</v>
      </c>
      <c r="Y42">
        <f>SUMIF(C78:F78,"=pb",C81:F81)</f>
        <v>0</v>
      </c>
      <c r="Z42">
        <f>SUMIF(C78:F78,"=sc",C81:F81)</f>
        <v>0</v>
      </c>
    </row>
    <row r="43" spans="1:26">
      <c r="A43" s="2" t="s">
        <v>3</v>
      </c>
      <c r="B43" s="2"/>
      <c r="C43" s="2" t="s">
        <v>49</v>
      </c>
      <c r="D43" s="2" t="s">
        <v>50</v>
      </c>
      <c r="E43" s="2" t="s">
        <v>51</v>
      </c>
      <c r="F43" s="2" t="s">
        <v>50</v>
      </c>
      <c r="G43" s="2" t="s">
        <v>50</v>
      </c>
      <c r="H43" s="2" t="s">
        <v>49</v>
      </c>
      <c r="I43" s="2" t="s">
        <v>49</v>
      </c>
      <c r="J43" s="2" t="s">
        <v>48</v>
      </c>
      <c r="K43" s="2" t="s">
        <v>48</v>
      </c>
      <c r="L43" s="2" t="s">
        <v>50</v>
      </c>
      <c r="M43" s="2" t="s">
        <v>52</v>
      </c>
      <c r="N43" s="2" t="s">
        <v>48</v>
      </c>
      <c r="O43" s="2" t="s">
        <v>49</v>
      </c>
      <c r="P43" s="2" t="s">
        <v>52</v>
      </c>
      <c r="Q43" s="2" t="s">
        <v>48</v>
      </c>
      <c r="R43" s="2" t="s">
        <v>51</v>
      </c>
      <c r="S43" s="2" t="s">
        <v>49</v>
      </c>
      <c r="T43" s="2" t="s">
        <v>50</v>
      </c>
      <c r="U43" s="2" t="s">
        <v>52</v>
      </c>
      <c r="V43" s="2" t="s">
        <v>48</v>
      </c>
      <c r="Y43">
        <f>SUMIF(C85:U85,"=pb",C88:U88)</f>
        <v>0</v>
      </c>
      <c r="Z43">
        <f>SUMIF(C85:U85,"=sc",C88:U88)</f>
        <v>0</v>
      </c>
    </row>
    <row r="44" spans="1:26">
      <c r="A44" s="130" t="s">
        <v>4</v>
      </c>
      <c r="B44" s="130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spans="1:26" hidden="1">
      <c r="A45" s="2" t="s">
        <v>53</v>
      </c>
      <c r="B45" s="2"/>
      <c r="C45" s="2">
        <f>IF(C44="",0,IF(C44=C43,1,-0.25))</f>
        <v>0</v>
      </c>
      <c r="D45" s="2">
        <f t="shared" ref="D45:V45" si="1">IF(D44="",0,IF(D44=D43,1,-0.25))</f>
        <v>0</v>
      </c>
      <c r="E45" s="2">
        <f t="shared" si="1"/>
        <v>0</v>
      </c>
      <c r="F45" s="2">
        <f t="shared" si="1"/>
        <v>0</v>
      </c>
      <c r="G45" s="2">
        <f t="shared" si="1"/>
        <v>0</v>
      </c>
      <c r="H45" s="2">
        <f t="shared" si="1"/>
        <v>0</v>
      </c>
      <c r="I45" s="2">
        <f t="shared" si="1"/>
        <v>0</v>
      </c>
      <c r="J45" s="2">
        <f t="shared" si="1"/>
        <v>0</v>
      </c>
      <c r="K45" s="2">
        <f t="shared" si="1"/>
        <v>0</v>
      </c>
      <c r="L45" s="2">
        <f t="shared" si="1"/>
        <v>0</v>
      </c>
      <c r="M45" s="2">
        <f t="shared" si="1"/>
        <v>0</v>
      </c>
      <c r="N45" s="2">
        <f t="shared" si="1"/>
        <v>0</v>
      </c>
      <c r="O45" s="2">
        <f t="shared" si="1"/>
        <v>0</v>
      </c>
      <c r="P45" s="2">
        <f t="shared" si="1"/>
        <v>0</v>
      </c>
      <c r="Q45" s="2">
        <f t="shared" si="1"/>
        <v>0</v>
      </c>
      <c r="R45" s="2">
        <f t="shared" si="1"/>
        <v>0</v>
      </c>
      <c r="S45" s="2">
        <f t="shared" si="1"/>
        <v>0</v>
      </c>
      <c r="T45" s="2">
        <f t="shared" si="1"/>
        <v>0</v>
      </c>
      <c r="U45" s="2">
        <f t="shared" si="1"/>
        <v>0</v>
      </c>
      <c r="V45" s="2">
        <f t="shared" si="1"/>
        <v>0</v>
      </c>
      <c r="X45" s="25" t="s">
        <v>35</v>
      </c>
      <c r="Y45">
        <f>SUM(Y39:Y43)</f>
        <v>0</v>
      </c>
      <c r="Z45" s="119">
        <f>SUM(Z39:Z43)</f>
        <v>0</v>
      </c>
    </row>
    <row r="46" spans="1:26">
      <c r="A46" s="2"/>
      <c r="B46" s="2"/>
      <c r="C46" s="23">
        <v>21</v>
      </c>
      <c r="D46" s="23">
        <v>22</v>
      </c>
      <c r="E46" s="23">
        <v>23</v>
      </c>
      <c r="F46" s="23">
        <v>24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X46" t="s">
        <v>142</v>
      </c>
      <c r="Y46">
        <f>Y45*1.396</f>
        <v>0</v>
      </c>
      <c r="Z46">
        <f>Z45*(67/19)</f>
        <v>0</v>
      </c>
    </row>
    <row r="47" spans="1:26">
      <c r="A47" s="2"/>
      <c r="B47" s="2"/>
      <c r="C47" s="19" t="s">
        <v>58</v>
      </c>
      <c r="D47" s="19" t="s">
        <v>58</v>
      </c>
      <c r="E47" s="19" t="s">
        <v>58</v>
      </c>
      <c r="F47" s="19" t="s">
        <v>58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X47" t="s">
        <v>36</v>
      </c>
      <c r="Y47">
        <f>ROUND(Y46,0)</f>
        <v>0</v>
      </c>
      <c r="Z47">
        <f>ROUND(Z46,0)</f>
        <v>0</v>
      </c>
    </row>
    <row r="48" spans="1:26">
      <c r="A48" s="2"/>
      <c r="B48" s="2"/>
      <c r="C48" s="2" t="s">
        <v>49</v>
      </c>
      <c r="D48" s="2" t="s">
        <v>49</v>
      </c>
      <c r="E48" s="2" t="s">
        <v>49</v>
      </c>
      <c r="F48" s="2" t="s">
        <v>51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X48" t="s">
        <v>143</v>
      </c>
      <c r="Y48">
        <f>VLOOKUP(Y47,Tables!A3:D75,2,FALSE)</f>
        <v>250</v>
      </c>
      <c r="Z48">
        <f>VLOOKUP(Z47,Tables!A3:D75,2,TRUE)</f>
        <v>250</v>
      </c>
    </row>
    <row r="49" spans="1:25">
      <c r="A49" s="2"/>
      <c r="B49" s="2"/>
      <c r="C49" s="5"/>
      <c r="D49" s="5"/>
      <c r="E49" s="5"/>
      <c r="F49" s="5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5" hidden="1">
      <c r="A50" s="2" t="s">
        <v>53</v>
      </c>
      <c r="B50" s="2"/>
      <c r="C50" s="2">
        <f>IF(C49="",0,IF(C49=C48,1,-0.25))</f>
        <v>0</v>
      </c>
      <c r="D50" s="2">
        <f>IF(D49="",0,IF(D49=D48,1,-0.25))</f>
        <v>0</v>
      </c>
      <c r="E50" s="2">
        <f>IF(E49="",0,IF(E49=E48,1,-0.25))</f>
        <v>0</v>
      </c>
      <c r="F50" s="2">
        <f>IF(F49="",0,IF(F49=F48,1,-0.25))</f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5">
      <c r="A51" s="7" t="s">
        <v>6</v>
      </c>
      <c r="B51" s="3"/>
      <c r="C51" s="7" t="s">
        <v>79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5">
      <c r="A53" s="3" t="s">
        <v>1</v>
      </c>
      <c r="B53" s="3"/>
      <c r="C53" s="22">
        <v>1</v>
      </c>
      <c r="D53" s="22">
        <v>2</v>
      </c>
      <c r="E53" s="22">
        <v>3</v>
      </c>
      <c r="F53" s="22">
        <v>4</v>
      </c>
      <c r="G53" s="22">
        <v>5</v>
      </c>
      <c r="H53" s="22">
        <v>6</v>
      </c>
      <c r="I53" s="22">
        <v>7</v>
      </c>
      <c r="J53" s="22">
        <v>8</v>
      </c>
      <c r="K53" s="22">
        <v>9</v>
      </c>
      <c r="L53" s="22">
        <v>10</v>
      </c>
      <c r="M53" s="22">
        <v>11</v>
      </c>
      <c r="N53" s="22">
        <v>12</v>
      </c>
      <c r="O53" s="22">
        <v>13</v>
      </c>
      <c r="P53" s="22">
        <v>14</v>
      </c>
      <c r="Q53" s="22">
        <v>15</v>
      </c>
      <c r="R53" s="22">
        <v>16</v>
      </c>
      <c r="S53" s="22">
        <v>17</v>
      </c>
      <c r="T53" s="22">
        <v>18</v>
      </c>
      <c r="U53" s="22">
        <v>19</v>
      </c>
      <c r="V53" s="22">
        <v>20</v>
      </c>
    </row>
    <row r="54" spans="1:25">
      <c r="A54" s="3" t="s">
        <v>2</v>
      </c>
      <c r="B54" s="3"/>
      <c r="C54" s="20" t="s">
        <v>59</v>
      </c>
      <c r="D54" s="20" t="s">
        <v>59</v>
      </c>
      <c r="E54" s="20" t="s">
        <v>59</v>
      </c>
      <c r="F54" s="20" t="s">
        <v>59</v>
      </c>
      <c r="G54" s="20" t="s">
        <v>59</v>
      </c>
      <c r="H54" s="20" t="s">
        <v>59</v>
      </c>
      <c r="I54" s="20" t="s">
        <v>59</v>
      </c>
      <c r="J54" s="20" t="s">
        <v>59</v>
      </c>
      <c r="K54" s="20" t="s">
        <v>59</v>
      </c>
      <c r="L54" s="20" t="s">
        <v>59</v>
      </c>
      <c r="M54" s="20" t="s">
        <v>59</v>
      </c>
      <c r="N54" s="20" t="s">
        <v>60</v>
      </c>
      <c r="O54" s="20" t="s">
        <v>60</v>
      </c>
      <c r="P54" s="20" t="s">
        <v>60</v>
      </c>
      <c r="Q54" s="20" t="s">
        <v>60</v>
      </c>
      <c r="R54" s="20" t="s">
        <v>60</v>
      </c>
      <c r="S54" s="20" t="s">
        <v>60</v>
      </c>
      <c r="T54" s="20" t="s">
        <v>60</v>
      </c>
      <c r="U54" s="20" t="s">
        <v>60</v>
      </c>
      <c r="V54" s="20" t="s">
        <v>60</v>
      </c>
      <c r="Y54" s="25"/>
    </row>
    <row r="55" spans="1:25">
      <c r="A55" s="3" t="s">
        <v>3</v>
      </c>
      <c r="B55" s="3"/>
      <c r="C55" s="3" t="s">
        <v>50</v>
      </c>
      <c r="D55" s="3" t="s">
        <v>52</v>
      </c>
      <c r="E55" s="3" t="s">
        <v>52</v>
      </c>
      <c r="F55" s="3" t="s">
        <v>50</v>
      </c>
      <c r="G55" s="3" t="s">
        <v>48</v>
      </c>
      <c r="H55" s="3" t="s">
        <v>48</v>
      </c>
      <c r="I55" s="3" t="s">
        <v>51</v>
      </c>
      <c r="J55" s="3" t="s">
        <v>49</v>
      </c>
      <c r="K55" s="3" t="s">
        <v>52</v>
      </c>
      <c r="L55" s="3" t="s">
        <v>49</v>
      </c>
      <c r="M55" s="3" t="s">
        <v>50</v>
      </c>
      <c r="N55" s="3" t="s">
        <v>51</v>
      </c>
      <c r="O55" s="3" t="s">
        <v>49</v>
      </c>
      <c r="P55" s="3" t="s">
        <v>48</v>
      </c>
      <c r="Q55" s="3" t="s">
        <v>51</v>
      </c>
      <c r="R55" s="3" t="s">
        <v>48</v>
      </c>
      <c r="S55" s="3" t="s">
        <v>48</v>
      </c>
      <c r="T55" s="3" t="s">
        <v>48</v>
      </c>
      <c r="U55" s="3" t="s">
        <v>52</v>
      </c>
      <c r="V55" s="3" t="s">
        <v>49</v>
      </c>
      <c r="Y55" s="25" t="s">
        <v>50</v>
      </c>
    </row>
    <row r="56" spans="1:25">
      <c r="A56" s="131" t="s">
        <v>4</v>
      </c>
      <c r="B56" s="131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Y56" s="25" t="s">
        <v>51</v>
      </c>
    </row>
    <row r="57" spans="1:25" hidden="1">
      <c r="A57" s="3" t="s">
        <v>53</v>
      </c>
      <c r="B57" s="3"/>
      <c r="C57" s="3">
        <f>IF(C56="",0,IF(C56=C55,1,-0.25))</f>
        <v>0</v>
      </c>
      <c r="D57" s="3">
        <f t="shared" ref="D57:V57" si="2">IF(D56="",0,IF(D56=D55,1,-0.25))</f>
        <v>0</v>
      </c>
      <c r="E57" s="3">
        <f t="shared" si="2"/>
        <v>0</v>
      </c>
      <c r="F57" s="3">
        <f t="shared" si="2"/>
        <v>0</v>
      </c>
      <c r="G57" s="3">
        <f t="shared" si="2"/>
        <v>0</v>
      </c>
      <c r="H57" s="3">
        <f t="shared" si="2"/>
        <v>0</v>
      </c>
      <c r="I57" s="3">
        <f t="shared" si="2"/>
        <v>0</v>
      </c>
      <c r="J57" s="3">
        <f t="shared" si="2"/>
        <v>0</v>
      </c>
      <c r="K57" s="3">
        <f t="shared" si="2"/>
        <v>0</v>
      </c>
      <c r="L57" s="3">
        <f t="shared" si="2"/>
        <v>0</v>
      </c>
      <c r="M57" s="3">
        <f t="shared" si="2"/>
        <v>0</v>
      </c>
      <c r="N57" s="3">
        <f t="shared" si="2"/>
        <v>0</v>
      </c>
      <c r="O57" s="3">
        <f t="shared" si="2"/>
        <v>0</v>
      </c>
      <c r="P57" s="3">
        <f t="shared" si="2"/>
        <v>0</v>
      </c>
      <c r="Q57" s="3">
        <f t="shared" si="2"/>
        <v>0</v>
      </c>
      <c r="R57" s="3">
        <f t="shared" si="2"/>
        <v>0</v>
      </c>
      <c r="S57" s="3">
        <f t="shared" si="2"/>
        <v>0</v>
      </c>
      <c r="T57" s="3">
        <f t="shared" si="2"/>
        <v>0</v>
      </c>
      <c r="U57" s="3">
        <f t="shared" si="2"/>
        <v>0</v>
      </c>
      <c r="V57" s="3">
        <f t="shared" si="2"/>
        <v>0</v>
      </c>
      <c r="Y57" s="25" t="s">
        <v>48</v>
      </c>
    </row>
    <row r="58" spans="1:25">
      <c r="A58" s="3"/>
      <c r="B58" s="3"/>
      <c r="C58" s="22">
        <v>21</v>
      </c>
      <c r="D58" s="22">
        <v>22</v>
      </c>
      <c r="E58" s="22">
        <v>23</v>
      </c>
      <c r="F58" s="22">
        <v>24</v>
      </c>
      <c r="G58" s="22">
        <v>25</v>
      </c>
      <c r="H58" s="22">
        <v>26</v>
      </c>
      <c r="I58" s="22">
        <v>27</v>
      </c>
      <c r="J58" s="22">
        <v>28</v>
      </c>
      <c r="K58" s="22">
        <v>29</v>
      </c>
      <c r="L58" s="22">
        <v>30</v>
      </c>
      <c r="M58" s="22">
        <v>31</v>
      </c>
      <c r="N58" s="22">
        <v>32</v>
      </c>
      <c r="O58" s="22">
        <v>33</v>
      </c>
      <c r="P58" s="22">
        <v>34</v>
      </c>
      <c r="Q58" s="22">
        <v>35</v>
      </c>
      <c r="R58" s="3"/>
      <c r="S58" s="3"/>
      <c r="T58" s="3"/>
      <c r="U58" s="3"/>
      <c r="V58" s="3"/>
      <c r="Y58" s="25" t="s">
        <v>52</v>
      </c>
    </row>
    <row r="59" spans="1:25">
      <c r="A59" s="3"/>
      <c r="B59" s="3"/>
      <c r="C59" s="20" t="s">
        <v>60</v>
      </c>
      <c r="D59" s="20" t="s">
        <v>60</v>
      </c>
      <c r="E59" s="20" t="s">
        <v>60</v>
      </c>
      <c r="F59" s="20" t="s">
        <v>60</v>
      </c>
      <c r="G59" s="20" t="s">
        <v>60</v>
      </c>
      <c r="H59" s="20" t="s">
        <v>60</v>
      </c>
      <c r="I59" s="20" t="s">
        <v>60</v>
      </c>
      <c r="J59" s="20" t="s">
        <v>60</v>
      </c>
      <c r="K59" s="20" t="s">
        <v>60</v>
      </c>
      <c r="L59" s="20" t="s">
        <v>61</v>
      </c>
      <c r="M59" s="20" t="s">
        <v>61</v>
      </c>
      <c r="N59" s="20" t="s">
        <v>61</v>
      </c>
      <c r="O59" s="20" t="s">
        <v>61</v>
      </c>
      <c r="P59" s="20" t="s">
        <v>61</v>
      </c>
      <c r="Q59" s="20" t="s">
        <v>61</v>
      </c>
      <c r="R59" s="3"/>
      <c r="S59" s="3"/>
      <c r="T59" s="3"/>
      <c r="U59" s="3"/>
      <c r="V59" s="3"/>
      <c r="Y59" s="25" t="s">
        <v>49</v>
      </c>
    </row>
    <row r="60" spans="1:25" ht="15" customHeight="1">
      <c r="A60" s="3"/>
      <c r="B60" s="3"/>
      <c r="C60" s="3" t="s">
        <v>49</v>
      </c>
      <c r="D60" s="3" t="s">
        <v>50</v>
      </c>
      <c r="E60" s="3" t="s">
        <v>49</v>
      </c>
      <c r="F60" s="3" t="s">
        <v>52</v>
      </c>
      <c r="G60" s="3" t="s">
        <v>48</v>
      </c>
      <c r="H60" s="3" t="s">
        <v>52</v>
      </c>
      <c r="I60" s="3" t="s">
        <v>52</v>
      </c>
      <c r="J60" s="3" t="s">
        <v>52</v>
      </c>
      <c r="K60" s="3" t="s">
        <v>52</v>
      </c>
      <c r="L60" s="3" t="s">
        <v>50</v>
      </c>
      <c r="M60" s="3" t="s">
        <v>52</v>
      </c>
      <c r="N60" s="3" t="s">
        <v>49</v>
      </c>
      <c r="O60" s="3" t="s">
        <v>51</v>
      </c>
      <c r="P60" s="3" t="s">
        <v>50</v>
      </c>
      <c r="Q60" s="3" t="s">
        <v>50</v>
      </c>
      <c r="R60" s="3"/>
      <c r="S60" s="3"/>
      <c r="T60" s="3"/>
      <c r="U60" s="3"/>
      <c r="V60" s="3"/>
    </row>
    <row r="61" spans="1: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3"/>
      <c r="S61" s="3"/>
      <c r="T61" s="3"/>
      <c r="U61" s="3"/>
      <c r="V61" s="3"/>
    </row>
    <row r="62" spans="1:25" hidden="1">
      <c r="A62" s="3" t="s">
        <v>53</v>
      </c>
      <c r="B62" s="3"/>
      <c r="C62" s="3">
        <f>IF(C61="",0,IF(C61=C60,1,-0.25))</f>
        <v>0</v>
      </c>
      <c r="D62" s="3">
        <f t="shared" ref="D62:Q62" si="3">IF(D61="",0,IF(D61=D60,1,-0.25))</f>
        <v>0</v>
      </c>
      <c r="E62" s="3">
        <f t="shared" si="3"/>
        <v>0</v>
      </c>
      <c r="F62" s="3">
        <f t="shared" si="3"/>
        <v>0</v>
      </c>
      <c r="G62" s="3">
        <f t="shared" si="3"/>
        <v>0</v>
      </c>
      <c r="H62" s="3">
        <f t="shared" si="3"/>
        <v>0</v>
      </c>
      <c r="I62" s="3">
        <f t="shared" si="3"/>
        <v>0</v>
      </c>
      <c r="J62" s="3">
        <f t="shared" si="3"/>
        <v>0</v>
      </c>
      <c r="K62" s="3">
        <f t="shared" si="3"/>
        <v>0</v>
      </c>
      <c r="L62" s="3">
        <f t="shared" si="3"/>
        <v>0</v>
      </c>
      <c r="M62" s="3">
        <f t="shared" si="3"/>
        <v>0</v>
      </c>
      <c r="N62" s="3">
        <f t="shared" si="3"/>
        <v>0</v>
      </c>
      <c r="O62" s="3">
        <f t="shared" si="3"/>
        <v>0</v>
      </c>
      <c r="P62" s="3">
        <f t="shared" si="3"/>
        <v>0</v>
      </c>
      <c r="Q62" s="3">
        <f t="shared" si="3"/>
        <v>0</v>
      </c>
      <c r="R62" s="4"/>
      <c r="S62" s="4"/>
      <c r="T62" s="4"/>
      <c r="U62" s="4"/>
      <c r="V62" s="4"/>
    </row>
    <row r="63" spans="1:25">
      <c r="A63" s="9" t="s">
        <v>7</v>
      </c>
      <c r="B63" s="1"/>
      <c r="C63" s="9" t="s">
        <v>77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>
      <c r="A65" s="1" t="s">
        <v>1</v>
      </c>
      <c r="B65" s="1"/>
      <c r="C65" s="24">
        <v>1</v>
      </c>
      <c r="D65" s="24">
        <v>2</v>
      </c>
      <c r="E65" s="24">
        <v>3</v>
      </c>
      <c r="F65" s="24">
        <v>4</v>
      </c>
      <c r="G65" s="24">
        <v>5</v>
      </c>
      <c r="H65" s="24">
        <v>6</v>
      </c>
      <c r="I65" s="24">
        <v>7</v>
      </c>
      <c r="J65" s="24">
        <v>8</v>
      </c>
      <c r="K65" s="24">
        <v>9</v>
      </c>
      <c r="L65" s="24">
        <v>10</v>
      </c>
      <c r="M65" s="24">
        <v>11</v>
      </c>
      <c r="N65" s="24">
        <v>12</v>
      </c>
      <c r="O65" s="24">
        <v>13</v>
      </c>
      <c r="P65" s="24">
        <v>14</v>
      </c>
      <c r="Q65" s="24">
        <v>15</v>
      </c>
      <c r="R65" s="24">
        <v>16</v>
      </c>
      <c r="S65" s="24">
        <v>17</v>
      </c>
      <c r="T65" s="24">
        <v>18</v>
      </c>
      <c r="U65" s="1"/>
      <c r="V65" s="1"/>
    </row>
    <row r="66" spans="1:22">
      <c r="A66" s="1" t="s">
        <v>2</v>
      </c>
      <c r="B66" s="1"/>
      <c r="C66" s="18" t="s">
        <v>54</v>
      </c>
      <c r="D66" s="18" t="s">
        <v>50</v>
      </c>
      <c r="E66" s="18" t="s">
        <v>52</v>
      </c>
      <c r="F66" s="18" t="s">
        <v>55</v>
      </c>
      <c r="G66" s="18" t="s">
        <v>56</v>
      </c>
      <c r="H66" s="18" t="s">
        <v>50</v>
      </c>
      <c r="I66" s="18" t="s">
        <v>56</v>
      </c>
      <c r="J66" s="18" t="s">
        <v>50</v>
      </c>
      <c r="K66" s="18" t="s">
        <v>54</v>
      </c>
      <c r="L66" s="18" t="s">
        <v>50</v>
      </c>
      <c r="M66" s="18" t="s">
        <v>52</v>
      </c>
      <c r="N66" s="18" t="s">
        <v>50</v>
      </c>
      <c r="O66" s="18" t="s">
        <v>50</v>
      </c>
      <c r="P66" s="18" t="s">
        <v>55</v>
      </c>
      <c r="Q66" s="18" t="s">
        <v>50</v>
      </c>
      <c r="R66" s="18" t="s">
        <v>50</v>
      </c>
      <c r="S66" s="18" t="s">
        <v>54</v>
      </c>
      <c r="T66" s="18" t="s">
        <v>56</v>
      </c>
      <c r="U66" s="1"/>
      <c r="V66" s="1"/>
    </row>
    <row r="67" spans="1:22" ht="27" customHeight="1">
      <c r="A67" s="1" t="s">
        <v>3</v>
      </c>
      <c r="B67" s="1"/>
      <c r="C67" s="1" t="s">
        <v>51</v>
      </c>
      <c r="D67" s="1" t="s">
        <v>49</v>
      </c>
      <c r="E67" s="1" t="s">
        <v>51</v>
      </c>
      <c r="F67" s="1" t="s">
        <v>50</v>
      </c>
      <c r="G67" s="1" t="s">
        <v>52</v>
      </c>
      <c r="H67" s="1" t="s">
        <v>50</v>
      </c>
      <c r="I67" s="1" t="s">
        <v>48</v>
      </c>
      <c r="J67" s="1" t="s">
        <v>51</v>
      </c>
      <c r="K67" s="1">
        <v>108</v>
      </c>
      <c r="L67" s="1">
        <v>0.5</v>
      </c>
      <c r="M67" s="1">
        <v>1300</v>
      </c>
      <c r="N67" s="1">
        <v>24</v>
      </c>
      <c r="O67" s="1">
        <v>300</v>
      </c>
      <c r="P67" s="1">
        <v>11</v>
      </c>
      <c r="Q67" s="1">
        <v>0.66600000000000004</v>
      </c>
      <c r="R67" s="1" t="s">
        <v>62</v>
      </c>
      <c r="S67" s="1">
        <v>2491</v>
      </c>
      <c r="T67" s="1">
        <v>23.3</v>
      </c>
      <c r="U67" s="1"/>
      <c r="V67" s="1"/>
    </row>
    <row r="68" spans="1:22" ht="18" customHeight="1">
      <c r="A68" s="1" t="s">
        <v>4</v>
      </c>
      <c r="B68" s="1"/>
      <c r="C68" s="5"/>
      <c r="D68" s="5"/>
      <c r="E68" s="5"/>
      <c r="F68" s="5"/>
      <c r="G68" s="5"/>
      <c r="H68" s="5"/>
      <c r="I68" s="5"/>
      <c r="J68" s="5"/>
      <c r="K68" s="5">
        <v>1</v>
      </c>
      <c r="L68" s="5"/>
      <c r="M68" s="5"/>
      <c r="N68" s="5"/>
      <c r="O68" s="5"/>
      <c r="P68" s="5"/>
      <c r="Q68" s="5"/>
      <c r="R68" s="5"/>
      <c r="S68" s="5"/>
      <c r="T68" s="5"/>
      <c r="U68" s="1"/>
      <c r="V68" s="1"/>
    </row>
    <row r="69" spans="1:22">
      <c r="A69" s="1" t="s">
        <v>53</v>
      </c>
      <c r="B69" s="1"/>
      <c r="C69" s="1">
        <f t="shared" ref="C69:J69" si="4">IF(C68="",0,IF(C68=C67,1,-0.25))</f>
        <v>0</v>
      </c>
      <c r="D69" s="1">
        <f t="shared" si="4"/>
        <v>0</v>
      </c>
      <c r="E69" s="1">
        <f t="shared" si="4"/>
        <v>0</v>
      </c>
      <c r="F69" s="1">
        <f t="shared" si="4"/>
        <v>0</v>
      </c>
      <c r="G69" s="1">
        <f t="shared" si="4"/>
        <v>0</v>
      </c>
      <c r="H69" s="1">
        <f t="shared" si="4"/>
        <v>0</v>
      </c>
      <c r="I69" s="1">
        <f t="shared" si="4"/>
        <v>0</v>
      </c>
      <c r="J69" s="1">
        <f t="shared" si="4"/>
        <v>0</v>
      </c>
      <c r="K69" s="1" t="str">
        <f t="shared" ref="K69:Q69" si="5">IF(K68=K67,1,IF(K68="",0,"inc"))</f>
        <v>inc</v>
      </c>
      <c r="L69" s="1">
        <f t="shared" si="5"/>
        <v>0</v>
      </c>
      <c r="M69" s="1">
        <f t="shared" si="5"/>
        <v>0</v>
      </c>
      <c r="N69" s="1">
        <f t="shared" si="5"/>
        <v>0</v>
      </c>
      <c r="O69" s="1">
        <f t="shared" si="5"/>
        <v>0</v>
      </c>
      <c r="P69" s="1">
        <f t="shared" si="5"/>
        <v>0</v>
      </c>
      <c r="Q69" s="1">
        <f t="shared" si="5"/>
        <v>0</v>
      </c>
      <c r="R69" s="1">
        <f>IF(R68&gt;3,IF(R68&lt;4,1,IF(R68="",0,"inc")),IF(R68="",0,"inc"))</f>
        <v>0</v>
      </c>
      <c r="S69" s="1">
        <f>IF(S68=S67,1,IF(S68="",0,"inc"))</f>
        <v>0</v>
      </c>
      <c r="T69" s="1">
        <f>IF(T68=T67,1,IF(T68="",0,"inc"))</f>
        <v>0</v>
      </c>
      <c r="U69" s="1"/>
      <c r="V69" s="1"/>
    </row>
    <row r="70" spans="1:22">
      <c r="A70" s="8" t="s">
        <v>8</v>
      </c>
      <c r="B70" s="2"/>
      <c r="C70" s="8" t="s">
        <v>78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>
      <c r="A72" s="2" t="s">
        <v>1</v>
      </c>
      <c r="B72" s="2"/>
      <c r="C72" s="23">
        <v>1</v>
      </c>
      <c r="D72" s="23">
        <v>2</v>
      </c>
      <c r="E72" s="23">
        <v>3</v>
      </c>
      <c r="F72" s="23">
        <v>4</v>
      </c>
      <c r="G72" s="23">
        <v>5</v>
      </c>
      <c r="H72" s="23">
        <v>6</v>
      </c>
      <c r="I72" s="23">
        <v>7</v>
      </c>
      <c r="J72" s="23">
        <v>8</v>
      </c>
      <c r="K72" s="23">
        <v>9</v>
      </c>
      <c r="L72" s="23">
        <v>10</v>
      </c>
      <c r="M72" s="23">
        <v>11</v>
      </c>
      <c r="N72" s="23">
        <v>12</v>
      </c>
      <c r="O72" s="23">
        <v>13</v>
      </c>
      <c r="P72" s="23">
        <v>14</v>
      </c>
      <c r="Q72" s="23">
        <v>15</v>
      </c>
      <c r="R72" s="23">
        <v>16</v>
      </c>
      <c r="S72" s="23">
        <v>17</v>
      </c>
      <c r="T72" s="23">
        <v>18</v>
      </c>
      <c r="U72" s="23">
        <v>19</v>
      </c>
      <c r="V72" s="23">
        <v>20</v>
      </c>
    </row>
    <row r="73" spans="1:22">
      <c r="A73" s="2" t="s">
        <v>2</v>
      </c>
      <c r="B73" s="2"/>
      <c r="C73" s="19" t="s">
        <v>57</v>
      </c>
      <c r="D73" s="19" t="s">
        <v>57</v>
      </c>
      <c r="E73" s="19" t="s">
        <v>57</v>
      </c>
      <c r="F73" s="19" t="s">
        <v>57</v>
      </c>
      <c r="G73" s="19" t="s">
        <v>57</v>
      </c>
      <c r="H73" s="19" t="s">
        <v>57</v>
      </c>
      <c r="I73" s="19" t="s">
        <v>57</v>
      </c>
      <c r="J73" s="19" t="s">
        <v>57</v>
      </c>
      <c r="K73" s="19" t="s">
        <v>58</v>
      </c>
      <c r="L73" s="19" t="s">
        <v>58</v>
      </c>
      <c r="M73" s="19" t="s">
        <v>58</v>
      </c>
      <c r="N73" s="19" t="s">
        <v>58</v>
      </c>
      <c r="O73" s="19" t="s">
        <v>58</v>
      </c>
      <c r="P73" s="19" t="s">
        <v>58</v>
      </c>
      <c r="Q73" s="19" t="s">
        <v>58</v>
      </c>
      <c r="R73" s="19" t="s">
        <v>58</v>
      </c>
      <c r="S73" s="19" t="s">
        <v>58</v>
      </c>
      <c r="T73" s="19" t="s">
        <v>58</v>
      </c>
      <c r="U73" s="19" t="s">
        <v>58</v>
      </c>
      <c r="V73" s="19" t="s">
        <v>58</v>
      </c>
    </row>
    <row r="74" spans="1:22">
      <c r="A74" s="2" t="s">
        <v>3</v>
      </c>
      <c r="B74" s="2"/>
      <c r="C74" s="2" t="s">
        <v>52</v>
      </c>
      <c r="D74" s="2" t="s">
        <v>48</v>
      </c>
      <c r="E74" s="2" t="s">
        <v>50</v>
      </c>
      <c r="F74" s="2" t="s">
        <v>51</v>
      </c>
      <c r="G74" s="2" t="s">
        <v>48</v>
      </c>
      <c r="H74" s="2" t="s">
        <v>48</v>
      </c>
      <c r="I74" s="2" t="s">
        <v>49</v>
      </c>
      <c r="J74" s="2" t="s">
        <v>49</v>
      </c>
      <c r="K74" s="2" t="s">
        <v>52</v>
      </c>
      <c r="L74" s="2" t="s">
        <v>51</v>
      </c>
      <c r="M74" s="2" t="s">
        <v>52</v>
      </c>
      <c r="N74" s="2" t="s">
        <v>51</v>
      </c>
      <c r="O74" s="2" t="s">
        <v>48</v>
      </c>
      <c r="P74" s="2" t="s">
        <v>52</v>
      </c>
      <c r="Q74" s="2" t="s">
        <v>49</v>
      </c>
      <c r="R74" s="2" t="s">
        <v>50</v>
      </c>
      <c r="S74" s="2" t="s">
        <v>52</v>
      </c>
      <c r="T74" s="2" t="s">
        <v>49</v>
      </c>
      <c r="U74" s="2" t="s">
        <v>52</v>
      </c>
      <c r="V74" s="2" t="s">
        <v>50</v>
      </c>
    </row>
    <row r="75" spans="1:22">
      <c r="A75" s="2" t="s">
        <v>4</v>
      </c>
      <c r="B75" s="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</row>
    <row r="76" spans="1:22" hidden="1">
      <c r="A76" s="2" t="s">
        <v>53</v>
      </c>
      <c r="B76" s="2"/>
      <c r="C76" s="2">
        <f>IF(C75="",0,IF(C75=C74,1,-0.25))</f>
        <v>0</v>
      </c>
      <c r="D76" s="2">
        <f t="shared" ref="D76:V76" si="6">IF(D75="",0,IF(D75=D74,1,-0.25))</f>
        <v>0</v>
      </c>
      <c r="E76" s="2">
        <f t="shared" si="6"/>
        <v>0</v>
      </c>
      <c r="F76" s="2">
        <f t="shared" si="6"/>
        <v>0</v>
      </c>
      <c r="G76" s="2">
        <f t="shared" si="6"/>
        <v>0</v>
      </c>
      <c r="H76" s="2">
        <f t="shared" si="6"/>
        <v>0</v>
      </c>
      <c r="I76" s="2">
        <f t="shared" si="6"/>
        <v>0</v>
      </c>
      <c r="J76" s="2">
        <f t="shared" si="6"/>
        <v>0</v>
      </c>
      <c r="K76" s="2">
        <f t="shared" si="6"/>
        <v>0</v>
      </c>
      <c r="L76" s="2">
        <f t="shared" si="6"/>
        <v>0</v>
      </c>
      <c r="M76" s="2">
        <f t="shared" si="6"/>
        <v>0</v>
      </c>
      <c r="N76" s="2">
        <f t="shared" si="6"/>
        <v>0</v>
      </c>
      <c r="O76" s="2">
        <f t="shared" si="6"/>
        <v>0</v>
      </c>
      <c r="P76" s="2">
        <f t="shared" si="6"/>
        <v>0</v>
      </c>
      <c r="Q76" s="2">
        <f t="shared" si="6"/>
        <v>0</v>
      </c>
      <c r="R76" s="2">
        <f t="shared" si="6"/>
        <v>0</v>
      </c>
      <c r="S76" s="2">
        <f t="shared" si="6"/>
        <v>0</v>
      </c>
      <c r="T76" s="2">
        <f t="shared" si="6"/>
        <v>0</v>
      </c>
      <c r="U76" s="2">
        <f t="shared" si="6"/>
        <v>0</v>
      </c>
      <c r="V76" s="2">
        <f t="shared" si="6"/>
        <v>0</v>
      </c>
    </row>
    <row r="77" spans="1:22">
      <c r="A77" s="2"/>
      <c r="B77" s="2"/>
      <c r="C77" s="23">
        <v>21</v>
      </c>
      <c r="D77" s="23">
        <v>22</v>
      </c>
      <c r="E77" s="23">
        <v>23</v>
      </c>
      <c r="F77" s="23">
        <v>24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>
      <c r="A78" s="2"/>
      <c r="B78" s="2"/>
      <c r="C78" s="21" t="s">
        <v>58</v>
      </c>
      <c r="D78" s="21" t="s">
        <v>58</v>
      </c>
      <c r="E78" s="21" t="s">
        <v>58</v>
      </c>
      <c r="F78" s="21" t="s">
        <v>58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>
      <c r="A79" s="2"/>
      <c r="B79" s="2"/>
      <c r="C79" s="6" t="s">
        <v>51</v>
      </c>
      <c r="D79" s="6" t="s">
        <v>50</v>
      </c>
      <c r="E79" s="6" t="s">
        <v>48</v>
      </c>
      <c r="F79" s="6" t="s">
        <v>51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>
      <c r="A80" s="2"/>
      <c r="B80" s="2"/>
      <c r="C80" s="5"/>
      <c r="D80" s="5"/>
      <c r="E80" s="5"/>
      <c r="F80" s="5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idden="1">
      <c r="A81" s="2" t="s">
        <v>53</v>
      </c>
      <c r="B81" s="2"/>
      <c r="C81" s="2">
        <f>IF(C80="",0,IF(C80=C79,1,-0.25))</f>
        <v>0</v>
      </c>
      <c r="D81" s="2">
        <f>IF(D80="",0,IF(D80=D79,1,-0.25))</f>
        <v>0</v>
      </c>
      <c r="E81" s="2">
        <f>IF(E80="",0,IF(E80=E79,1,-0.25))</f>
        <v>0</v>
      </c>
      <c r="F81" s="2">
        <f>IF(F80="",0,IF(F80=F79,1,-0.25))</f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>
      <c r="A82" s="9" t="s">
        <v>9</v>
      </c>
      <c r="B82" s="1"/>
      <c r="C82" s="9" t="s">
        <v>77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>
      <c r="A84" s="1" t="s">
        <v>1</v>
      </c>
      <c r="B84" s="1"/>
      <c r="C84" s="24">
        <v>1</v>
      </c>
      <c r="D84" s="24">
        <v>2</v>
      </c>
      <c r="E84" s="24">
        <v>3</v>
      </c>
      <c r="F84" s="24">
        <v>4</v>
      </c>
      <c r="G84" s="24">
        <v>5</v>
      </c>
      <c r="H84" s="24">
        <v>6</v>
      </c>
      <c r="I84" s="24">
        <v>7</v>
      </c>
      <c r="J84" s="24">
        <v>8</v>
      </c>
      <c r="K84" s="24">
        <v>9</v>
      </c>
      <c r="L84" s="24">
        <v>10</v>
      </c>
      <c r="M84" s="24">
        <v>11</v>
      </c>
      <c r="N84" s="24">
        <v>12</v>
      </c>
      <c r="O84" s="24">
        <v>13</v>
      </c>
      <c r="P84" s="24">
        <v>14</v>
      </c>
      <c r="Q84" s="24">
        <v>15</v>
      </c>
      <c r="R84" s="24">
        <v>16</v>
      </c>
      <c r="S84" s="1"/>
      <c r="T84" s="1"/>
      <c r="U84" s="1"/>
      <c r="V84" s="1"/>
    </row>
    <row r="85" spans="1:22">
      <c r="A85" s="1" t="s">
        <v>2</v>
      </c>
      <c r="B85" s="1"/>
      <c r="C85" s="18" t="s">
        <v>50</v>
      </c>
      <c r="D85" s="18" t="s">
        <v>50</v>
      </c>
      <c r="E85" s="18" t="s">
        <v>50</v>
      </c>
      <c r="F85" s="18" t="s">
        <v>56</v>
      </c>
      <c r="G85" s="18" t="s">
        <v>54</v>
      </c>
      <c r="H85" s="18" t="s">
        <v>52</v>
      </c>
      <c r="I85" s="18" t="s">
        <v>56</v>
      </c>
      <c r="J85" s="18" t="s">
        <v>52</v>
      </c>
      <c r="K85" s="18" t="s">
        <v>56</v>
      </c>
      <c r="L85" s="18" t="s">
        <v>54</v>
      </c>
      <c r="M85" s="18" t="s">
        <v>50</v>
      </c>
      <c r="N85" s="18" t="s">
        <v>56</v>
      </c>
      <c r="O85" s="18" t="s">
        <v>50</v>
      </c>
      <c r="P85" s="18" t="s">
        <v>56</v>
      </c>
      <c r="Q85" s="18" t="s">
        <v>50</v>
      </c>
      <c r="R85" s="18" t="s">
        <v>50</v>
      </c>
      <c r="S85" s="1"/>
      <c r="T85" s="1"/>
      <c r="U85" s="1"/>
      <c r="V85" s="1"/>
    </row>
    <row r="86" spans="1:22">
      <c r="A86" s="1" t="s">
        <v>3</v>
      </c>
      <c r="B86" s="1"/>
      <c r="C86" s="1" t="s">
        <v>48</v>
      </c>
      <c r="D86" s="1" t="s">
        <v>50</v>
      </c>
      <c r="E86" s="1" t="s">
        <v>51</v>
      </c>
      <c r="F86" s="1" t="s">
        <v>51</v>
      </c>
      <c r="G86" s="1" t="s">
        <v>48</v>
      </c>
      <c r="H86" s="1" t="s">
        <v>52</v>
      </c>
      <c r="I86" s="1" t="s">
        <v>49</v>
      </c>
      <c r="J86" s="1" t="s">
        <v>51</v>
      </c>
      <c r="K86" s="1" t="s">
        <v>51</v>
      </c>
      <c r="L86" s="1" t="s">
        <v>48</v>
      </c>
      <c r="M86" s="1" t="s">
        <v>52</v>
      </c>
      <c r="N86" s="1" t="s">
        <v>51</v>
      </c>
      <c r="O86" s="1" t="s">
        <v>51</v>
      </c>
      <c r="P86" s="1" t="s">
        <v>52</v>
      </c>
      <c r="Q86" s="1" t="s">
        <v>49</v>
      </c>
      <c r="R86" s="1" t="s">
        <v>52</v>
      </c>
      <c r="S86" s="1"/>
      <c r="T86" s="1"/>
      <c r="U86" s="1"/>
      <c r="V86" s="1"/>
    </row>
    <row r="87" spans="1:22">
      <c r="A87" s="1" t="s">
        <v>4</v>
      </c>
      <c r="B87" s="1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1"/>
      <c r="T87" s="1"/>
      <c r="U87" s="1"/>
      <c r="V87" s="1"/>
    </row>
    <row r="88" spans="1:22" hidden="1">
      <c r="A88" s="1" t="s">
        <v>53</v>
      </c>
      <c r="B88" s="1"/>
      <c r="C88" s="1">
        <f>IF(C87="",0,IF(C87=C86,1,-0.25))</f>
        <v>0</v>
      </c>
      <c r="D88" s="1">
        <f t="shared" ref="D88:R88" si="7">IF(D87="",0,IF(D87=D86,1,-0.25))</f>
        <v>0</v>
      </c>
      <c r="E88" s="1">
        <f t="shared" si="7"/>
        <v>0</v>
      </c>
      <c r="F88" s="1">
        <f t="shared" si="7"/>
        <v>0</v>
      </c>
      <c r="G88" s="1">
        <f t="shared" si="7"/>
        <v>0</v>
      </c>
      <c r="H88" s="1">
        <f t="shared" si="7"/>
        <v>0</v>
      </c>
      <c r="I88" s="1">
        <f t="shared" si="7"/>
        <v>0</v>
      </c>
      <c r="J88" s="1">
        <f t="shared" si="7"/>
        <v>0</v>
      </c>
      <c r="K88" s="1">
        <f t="shared" si="7"/>
        <v>0</v>
      </c>
      <c r="L88" s="1">
        <f t="shared" si="7"/>
        <v>0</v>
      </c>
      <c r="M88" s="1">
        <f t="shared" si="7"/>
        <v>0</v>
      </c>
      <c r="N88" s="1">
        <f t="shared" si="7"/>
        <v>0</v>
      </c>
      <c r="O88" s="1">
        <f t="shared" si="7"/>
        <v>0</v>
      </c>
      <c r="P88" s="1">
        <f t="shared" si="7"/>
        <v>0</v>
      </c>
      <c r="Q88" s="1">
        <f t="shared" si="7"/>
        <v>0</v>
      </c>
      <c r="R88" s="1">
        <f t="shared" si="7"/>
        <v>0</v>
      </c>
      <c r="S88" s="1"/>
      <c r="T88" s="1"/>
      <c r="U88" s="1"/>
      <c r="V88" s="1"/>
    </row>
    <row r="89" spans="1:22">
      <c r="A89" s="8" t="s">
        <v>10</v>
      </c>
      <c r="B89" s="2"/>
      <c r="C89" s="8" t="s">
        <v>78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>
      <c r="A91" s="2" t="s">
        <v>1</v>
      </c>
      <c r="B91" s="2"/>
      <c r="C91" s="23">
        <v>1</v>
      </c>
      <c r="D91" s="23">
        <v>2</v>
      </c>
      <c r="E91" s="23">
        <v>3</v>
      </c>
      <c r="F91" s="23">
        <v>4</v>
      </c>
      <c r="G91" s="23">
        <v>5</v>
      </c>
      <c r="H91" s="23">
        <v>6</v>
      </c>
      <c r="I91" s="23">
        <v>7</v>
      </c>
      <c r="J91" s="23">
        <v>8</v>
      </c>
      <c r="K91" s="23">
        <v>9</v>
      </c>
      <c r="L91" s="23">
        <v>10</v>
      </c>
      <c r="M91" s="23">
        <v>11</v>
      </c>
      <c r="N91" s="23">
        <v>12</v>
      </c>
      <c r="O91" s="23">
        <v>13</v>
      </c>
      <c r="P91" s="23">
        <v>14</v>
      </c>
      <c r="Q91" s="23">
        <v>15</v>
      </c>
      <c r="R91" s="23">
        <v>16</v>
      </c>
      <c r="S91" s="23">
        <v>17</v>
      </c>
      <c r="T91" s="23">
        <v>18</v>
      </c>
      <c r="U91" s="23">
        <v>19</v>
      </c>
      <c r="V91" s="2"/>
    </row>
    <row r="92" spans="1:22">
      <c r="A92" s="2" t="s">
        <v>2</v>
      </c>
      <c r="B92" s="2"/>
      <c r="C92" s="19" t="s">
        <v>57</v>
      </c>
      <c r="D92" s="19" t="s">
        <v>57</v>
      </c>
      <c r="E92" s="19" t="s">
        <v>57</v>
      </c>
      <c r="F92" s="19" t="s">
        <v>57</v>
      </c>
      <c r="G92" s="19" t="s">
        <v>57</v>
      </c>
      <c r="H92" s="19" t="s">
        <v>57</v>
      </c>
      <c r="I92" s="19" t="s">
        <v>58</v>
      </c>
      <c r="J92" s="19" t="s">
        <v>58</v>
      </c>
      <c r="K92" s="19" t="s">
        <v>58</v>
      </c>
      <c r="L92" s="19" t="s">
        <v>58</v>
      </c>
      <c r="M92" s="19" t="s">
        <v>58</v>
      </c>
      <c r="N92" s="19" t="s">
        <v>58</v>
      </c>
      <c r="O92" s="19" t="s">
        <v>58</v>
      </c>
      <c r="P92" s="19" t="s">
        <v>58</v>
      </c>
      <c r="Q92" s="19" t="s">
        <v>58</v>
      </c>
      <c r="R92" s="19" t="s">
        <v>58</v>
      </c>
      <c r="S92" s="19" t="s">
        <v>58</v>
      </c>
      <c r="T92" s="19" t="s">
        <v>58</v>
      </c>
      <c r="U92" s="19" t="s">
        <v>58</v>
      </c>
      <c r="V92" s="2"/>
    </row>
    <row r="93" spans="1:22">
      <c r="A93" s="2" t="s">
        <v>3</v>
      </c>
      <c r="B93" s="2"/>
      <c r="C93" s="2" t="s">
        <v>50</v>
      </c>
      <c r="D93" s="2" t="s">
        <v>51</v>
      </c>
      <c r="E93" s="2" t="s">
        <v>51</v>
      </c>
      <c r="F93" s="2" t="s">
        <v>52</v>
      </c>
      <c r="G93" s="2" t="s">
        <v>52</v>
      </c>
      <c r="H93" s="2" t="s">
        <v>52</v>
      </c>
      <c r="I93" s="2" t="s">
        <v>51</v>
      </c>
      <c r="J93" s="2" t="s">
        <v>50</v>
      </c>
      <c r="K93" s="2" t="s">
        <v>49</v>
      </c>
      <c r="L93" s="2" t="s">
        <v>51</v>
      </c>
      <c r="M93" s="2" t="s">
        <v>51</v>
      </c>
      <c r="N93" s="2" t="s">
        <v>52</v>
      </c>
      <c r="O93" s="2" t="s">
        <v>48</v>
      </c>
      <c r="P93" s="2" t="s">
        <v>48</v>
      </c>
      <c r="Q93" s="2" t="s">
        <v>48</v>
      </c>
      <c r="R93" s="2" t="s">
        <v>52</v>
      </c>
      <c r="S93" s="2" t="s">
        <v>49</v>
      </c>
      <c r="T93" s="2" t="s">
        <v>48</v>
      </c>
      <c r="U93" s="2" t="s">
        <v>49</v>
      </c>
      <c r="V93" s="2"/>
    </row>
    <row r="94" spans="1:22">
      <c r="A94" s="2" t="s">
        <v>4</v>
      </c>
      <c r="B94" s="2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2"/>
    </row>
    <row r="95" spans="1:22" hidden="1">
      <c r="A95" s="2" t="s">
        <v>53</v>
      </c>
      <c r="B95" s="2"/>
      <c r="C95" s="2">
        <f>IF(C94="",0,IF(C94=C93,1,-0.25))</f>
        <v>0</v>
      </c>
      <c r="D95" s="2">
        <f t="shared" ref="D95:U95" si="8">IF(D94="",0,IF(D94=D93,1,-0.25))</f>
        <v>0</v>
      </c>
      <c r="E95" s="2">
        <f t="shared" si="8"/>
        <v>0</v>
      </c>
      <c r="F95" s="2">
        <f t="shared" si="8"/>
        <v>0</v>
      </c>
      <c r="G95" s="2">
        <f t="shared" si="8"/>
        <v>0</v>
      </c>
      <c r="H95" s="2">
        <f t="shared" si="8"/>
        <v>0</v>
      </c>
      <c r="I95" s="2">
        <f t="shared" si="8"/>
        <v>0</v>
      </c>
      <c r="J95" s="2">
        <f t="shared" si="8"/>
        <v>0</v>
      </c>
      <c r="K95" s="2">
        <f t="shared" si="8"/>
        <v>0</v>
      </c>
      <c r="L95" s="2">
        <f t="shared" si="8"/>
        <v>0</v>
      </c>
      <c r="M95" s="2">
        <f t="shared" si="8"/>
        <v>0</v>
      </c>
      <c r="N95" s="2">
        <f t="shared" si="8"/>
        <v>0</v>
      </c>
      <c r="O95" s="2">
        <f t="shared" si="8"/>
        <v>0</v>
      </c>
      <c r="P95" s="2">
        <f t="shared" si="8"/>
        <v>0</v>
      </c>
      <c r="Q95" s="2">
        <f t="shared" si="8"/>
        <v>0</v>
      </c>
      <c r="R95" s="2">
        <f t="shared" si="8"/>
        <v>0</v>
      </c>
      <c r="S95" s="2">
        <f t="shared" si="8"/>
        <v>0</v>
      </c>
      <c r="T95" s="2">
        <f t="shared" si="8"/>
        <v>0</v>
      </c>
      <c r="U95" s="2">
        <f t="shared" si="8"/>
        <v>0</v>
      </c>
      <c r="V95" s="2"/>
    </row>
    <row r="96" spans="1:22">
      <c r="A96" s="7" t="s">
        <v>11</v>
      </c>
      <c r="B96" s="7"/>
      <c r="C96" s="7" t="s">
        <v>79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>
      <c r="A98" s="3" t="s">
        <v>1</v>
      </c>
      <c r="B98" s="3"/>
      <c r="C98" s="22">
        <v>1</v>
      </c>
      <c r="D98" s="22">
        <v>2</v>
      </c>
      <c r="E98" s="22">
        <v>3</v>
      </c>
      <c r="F98" s="22">
        <v>4</v>
      </c>
      <c r="G98" s="22">
        <v>5</v>
      </c>
      <c r="H98" s="22">
        <v>6</v>
      </c>
      <c r="I98" s="22">
        <v>7</v>
      </c>
      <c r="J98" s="22">
        <v>8</v>
      </c>
      <c r="K98" s="22">
        <v>9</v>
      </c>
      <c r="L98" s="22">
        <v>10</v>
      </c>
      <c r="M98" s="22">
        <v>11</v>
      </c>
      <c r="N98" s="22">
        <v>12</v>
      </c>
      <c r="O98" s="22">
        <v>13</v>
      </c>
      <c r="P98" s="22">
        <v>14</v>
      </c>
      <c r="Q98" s="3"/>
      <c r="R98" s="3"/>
      <c r="S98" s="3"/>
      <c r="T98" s="3"/>
      <c r="U98" s="3"/>
      <c r="V98" s="3"/>
    </row>
    <row r="99" spans="1:22">
      <c r="A99" s="3" t="s">
        <v>2</v>
      </c>
      <c r="B99" s="3"/>
      <c r="C99" s="20" t="s">
        <v>59</v>
      </c>
      <c r="D99" s="20" t="s">
        <v>59</v>
      </c>
      <c r="E99" s="20" t="s">
        <v>59</v>
      </c>
      <c r="F99" s="20" t="s">
        <v>59</v>
      </c>
      <c r="G99" s="20" t="s">
        <v>59</v>
      </c>
      <c r="H99" s="20" t="s">
        <v>59</v>
      </c>
      <c r="I99" s="20" t="s">
        <v>59</v>
      </c>
      <c r="J99" s="20" t="s">
        <v>59</v>
      </c>
      <c r="K99" s="20" t="s">
        <v>59</v>
      </c>
      <c r="L99" s="20" t="s">
        <v>59</v>
      </c>
      <c r="M99" s="20" t="s">
        <v>59</v>
      </c>
      <c r="N99" s="20" t="s">
        <v>59</v>
      </c>
      <c r="O99" s="20" t="s">
        <v>59</v>
      </c>
      <c r="P99" s="20" t="s">
        <v>59</v>
      </c>
      <c r="Q99" s="3"/>
      <c r="R99" s="3"/>
      <c r="S99" s="3"/>
      <c r="T99" s="3"/>
      <c r="U99" s="3"/>
      <c r="V99" s="3"/>
    </row>
    <row r="100" spans="1:22">
      <c r="A100" s="3" t="s">
        <v>3</v>
      </c>
      <c r="B100" s="3"/>
      <c r="C100" s="3" t="s">
        <v>48</v>
      </c>
      <c r="D100" s="3" t="s">
        <v>48</v>
      </c>
      <c r="E100" s="3" t="s">
        <v>50</v>
      </c>
      <c r="F100" s="3" t="s">
        <v>48</v>
      </c>
      <c r="G100" s="3" t="s">
        <v>49</v>
      </c>
      <c r="H100" s="3" t="s">
        <v>52</v>
      </c>
      <c r="I100" s="3" t="s">
        <v>49</v>
      </c>
      <c r="J100" s="3" t="s">
        <v>49</v>
      </c>
      <c r="K100" s="3" t="s">
        <v>52</v>
      </c>
      <c r="L100" s="3" t="s">
        <v>48</v>
      </c>
      <c r="M100" s="3" t="s">
        <v>49</v>
      </c>
      <c r="N100" s="3" t="s">
        <v>48</v>
      </c>
      <c r="O100" s="3" t="s">
        <v>51</v>
      </c>
      <c r="P100" s="3" t="s">
        <v>51</v>
      </c>
      <c r="Q100" s="3"/>
      <c r="R100" s="3"/>
      <c r="S100" s="3"/>
      <c r="T100" s="3"/>
      <c r="U100" s="3"/>
      <c r="V100" s="3"/>
    </row>
    <row r="101" spans="1:22">
      <c r="A101" s="3" t="s">
        <v>4</v>
      </c>
      <c r="B101" s="3"/>
      <c r="C101" s="5" t="s">
        <v>50</v>
      </c>
      <c r="D101" s="5" t="s">
        <v>50</v>
      </c>
      <c r="E101" s="5" t="s">
        <v>48</v>
      </c>
      <c r="F101" s="5" t="s">
        <v>50</v>
      </c>
      <c r="G101" s="5" t="s">
        <v>50</v>
      </c>
      <c r="H101" s="5" t="s">
        <v>50</v>
      </c>
      <c r="I101" s="5" t="s">
        <v>50</v>
      </c>
      <c r="J101" s="5" t="s">
        <v>50</v>
      </c>
      <c r="K101" s="5" t="s">
        <v>50</v>
      </c>
      <c r="L101" s="5" t="s">
        <v>50</v>
      </c>
      <c r="M101" s="5" t="s">
        <v>50</v>
      </c>
      <c r="N101" s="5" t="s">
        <v>50</v>
      </c>
      <c r="O101" s="5" t="s">
        <v>50</v>
      </c>
      <c r="P101" s="5" t="s">
        <v>50</v>
      </c>
      <c r="Q101" s="3"/>
      <c r="R101" s="3"/>
      <c r="S101" s="3"/>
      <c r="T101" s="3"/>
      <c r="U101" s="3"/>
      <c r="V101" s="3"/>
    </row>
    <row r="102" spans="1:22" hidden="1">
      <c r="A102" s="3" t="s">
        <v>53</v>
      </c>
      <c r="B102" s="3"/>
      <c r="C102" s="3">
        <f>IF(C101="",0,IF(C101=C100,1,-0.25))</f>
        <v>-0.25</v>
      </c>
      <c r="D102" s="3">
        <f t="shared" ref="D102:P102" si="9">IF(D101="",0,IF(D101=D100,1,-0.25))</f>
        <v>-0.25</v>
      </c>
      <c r="E102" s="3">
        <f t="shared" si="9"/>
        <v>-0.25</v>
      </c>
      <c r="F102" s="3">
        <f t="shared" si="9"/>
        <v>-0.25</v>
      </c>
      <c r="G102" s="3">
        <f t="shared" si="9"/>
        <v>-0.25</v>
      </c>
      <c r="H102" s="3">
        <f t="shared" si="9"/>
        <v>-0.25</v>
      </c>
      <c r="I102" s="3">
        <f t="shared" si="9"/>
        <v>-0.25</v>
      </c>
      <c r="J102" s="3">
        <f t="shared" si="9"/>
        <v>-0.25</v>
      </c>
      <c r="K102" s="3">
        <f t="shared" si="9"/>
        <v>-0.25</v>
      </c>
      <c r="L102" s="3">
        <f t="shared" si="9"/>
        <v>-0.25</v>
      </c>
      <c r="M102" s="3">
        <f t="shared" si="9"/>
        <v>-0.25</v>
      </c>
      <c r="N102" s="3">
        <f t="shared" si="9"/>
        <v>-0.25</v>
      </c>
      <c r="O102" s="3">
        <f t="shared" si="9"/>
        <v>-0.25</v>
      </c>
      <c r="P102" s="3">
        <f t="shared" si="9"/>
        <v>-0.25</v>
      </c>
      <c r="Q102" s="3"/>
      <c r="R102" s="3"/>
      <c r="S102" s="3"/>
      <c r="T102" s="3"/>
      <c r="U102" s="3"/>
      <c r="V102" s="3"/>
    </row>
  </sheetData>
  <sheetProtection pivotTables="0"/>
  <mergeCells count="37">
    <mergeCell ref="E1:O1"/>
    <mergeCell ref="Q1:W1"/>
    <mergeCell ref="E2:H2"/>
    <mergeCell ref="I2:O2"/>
    <mergeCell ref="Q2:R2"/>
    <mergeCell ref="S2:W2"/>
    <mergeCell ref="F4:O4"/>
    <mergeCell ref="I5:J5"/>
    <mergeCell ref="I7:J7"/>
    <mergeCell ref="N7:O7"/>
    <mergeCell ref="A10:J10"/>
    <mergeCell ref="M10:V10"/>
    <mergeCell ref="H11:J13"/>
    <mergeCell ref="H19:S19"/>
    <mergeCell ref="A27:W27"/>
    <mergeCell ref="A28:E28"/>
    <mergeCell ref="G28:N28"/>
    <mergeCell ref="P28:W28"/>
    <mergeCell ref="V29:W30"/>
    <mergeCell ref="B31:C31"/>
    <mergeCell ref="J31:L31"/>
    <mergeCell ref="P31:Q31"/>
    <mergeCell ref="R31:T31"/>
    <mergeCell ref="V31:W31"/>
    <mergeCell ref="B29:C30"/>
    <mergeCell ref="D29:D30"/>
    <mergeCell ref="E29:E30"/>
    <mergeCell ref="R29:T30"/>
    <mergeCell ref="A29:A30"/>
    <mergeCell ref="G29:I29"/>
    <mergeCell ref="J29:M29"/>
    <mergeCell ref="U29:U30"/>
    <mergeCell ref="A37:B37"/>
    <mergeCell ref="A44:B44"/>
    <mergeCell ref="A56:B56"/>
    <mergeCell ref="N29:N30"/>
    <mergeCell ref="P29:Q30"/>
  </mergeCells>
  <dataValidations count="1">
    <dataValidation type="list" allowBlank="1" showInputMessage="1" showErrorMessage="1" sqref="C37:V37 C44:V44 C49:F49 C56:V56 C61:Q61 C68:J68 C75:V75 C80:F80 C87:R87 C94:U94 C101:P101">
      <formula1>$Y$54:$Y$59</formula1>
    </dataValidation>
  </dataValidations>
  <pageMargins left="0.25" right="0.25" top="0.75" bottom="0.75" header="0.3" footer="0.3"/>
  <pageSetup orientation="landscape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3" name="Button 1">
              <controlPr defaultSize="0" print="0" autoFill="0" autoPict="0" macro="[0]!Scorereport">
                <anchor moveWithCells="1" sizeWithCells="1">
                  <from>
                    <xdr:col>0</xdr:col>
                    <xdr:colOff>101600</xdr:colOff>
                    <xdr:row>4</xdr:row>
                    <xdr:rowOff>190500</xdr:rowOff>
                  </from>
                  <to>
                    <xdr:col>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/>
  <dimension ref="A1:Z102"/>
  <sheetViews>
    <sheetView workbookViewId="0">
      <selection activeCell="L39" sqref="L39"/>
    </sheetView>
  </sheetViews>
  <sheetFormatPr baseColWidth="10" defaultColWidth="5.1640625" defaultRowHeight="15" x14ac:dyDescent="0"/>
  <cols>
    <col min="1" max="1" width="5.5" customWidth="1"/>
    <col min="3" max="3" width="5.1640625" customWidth="1"/>
    <col min="4" max="4" width="5.6640625" customWidth="1"/>
    <col min="5" max="5" width="6.1640625" customWidth="1"/>
    <col min="6" max="6" width="4.6640625" customWidth="1"/>
    <col min="7" max="7" width="6.6640625" customWidth="1"/>
    <col min="8" max="8" width="6.1640625" customWidth="1"/>
    <col min="10" max="10" width="4.83203125" customWidth="1"/>
    <col min="11" max="11" width="4.1640625" customWidth="1"/>
    <col min="12" max="12" width="5.1640625" customWidth="1"/>
    <col min="13" max="13" width="7.1640625" customWidth="1"/>
    <col min="14" max="14" width="5.83203125" customWidth="1"/>
    <col min="15" max="15" width="4" customWidth="1"/>
    <col min="17" max="17" width="5.1640625" customWidth="1"/>
    <col min="18" max="18" width="4.5" customWidth="1"/>
    <col min="19" max="19" width="4.6640625" customWidth="1"/>
    <col min="21" max="21" width="5.1640625" customWidth="1"/>
    <col min="22" max="22" width="4.6640625" customWidth="1"/>
    <col min="23" max="23" width="7.5" customWidth="1"/>
    <col min="24" max="24" width="11.1640625" hidden="1" customWidth="1"/>
    <col min="25" max="26" width="5.1640625" hidden="1" customWidth="1"/>
  </cols>
  <sheetData>
    <row r="1" spans="1:23" ht="19" thickBot="1">
      <c r="A1" s="25"/>
      <c r="B1" s="25"/>
      <c r="C1" s="25"/>
      <c r="E1" s="185" t="s">
        <v>83</v>
      </c>
      <c r="F1" s="185"/>
      <c r="G1" s="185"/>
      <c r="H1" s="185"/>
      <c r="I1" s="185"/>
      <c r="J1" s="185"/>
      <c r="K1" s="185"/>
      <c r="L1" s="185"/>
      <c r="M1" s="185"/>
      <c r="N1" s="185"/>
      <c r="O1" s="185"/>
      <c r="Q1" s="186" t="s">
        <v>24</v>
      </c>
      <c r="R1" s="187"/>
      <c r="S1" s="187"/>
      <c r="T1" s="187"/>
      <c r="U1" s="187"/>
      <c r="V1" s="187"/>
      <c r="W1" s="188"/>
    </row>
    <row r="2" spans="1:23" ht="18">
      <c r="A2" s="25"/>
      <c r="B2" s="25"/>
      <c r="C2" s="25"/>
      <c r="E2" s="189" t="s">
        <v>84</v>
      </c>
      <c r="F2" s="189"/>
      <c r="G2" s="189"/>
      <c r="H2" s="189"/>
      <c r="I2" s="190" t="s">
        <v>144</v>
      </c>
      <c r="J2" s="190"/>
      <c r="K2" s="190"/>
      <c r="L2" s="190"/>
      <c r="M2" s="190"/>
      <c r="N2" s="190"/>
      <c r="O2" s="190"/>
      <c r="Q2" s="191" t="s">
        <v>80</v>
      </c>
      <c r="R2" s="192"/>
      <c r="S2" s="193" t="s">
        <v>81</v>
      </c>
      <c r="T2" s="194"/>
      <c r="U2" s="194"/>
      <c r="V2" s="194"/>
      <c r="W2" s="195"/>
    </row>
    <row r="3" spans="1:23" ht="16" thickBot="1">
      <c r="F3" s="58"/>
      <c r="G3" s="58"/>
      <c r="H3" s="58"/>
      <c r="I3" s="58"/>
      <c r="Q3" s="29" t="s">
        <v>25</v>
      </c>
      <c r="R3" s="30"/>
      <c r="S3" s="27" t="s">
        <v>31</v>
      </c>
      <c r="T3" s="28"/>
      <c r="U3" s="28"/>
      <c r="V3" s="28"/>
      <c r="W3" s="31"/>
    </row>
    <row r="4" spans="1:23" ht="16" thickBot="1">
      <c r="F4" s="172" t="s">
        <v>85</v>
      </c>
      <c r="G4" s="173"/>
      <c r="H4" s="173"/>
      <c r="I4" s="173"/>
      <c r="J4" s="173"/>
      <c r="K4" s="173"/>
      <c r="L4" s="173"/>
      <c r="M4" s="173"/>
      <c r="N4" s="173"/>
      <c r="O4" s="174"/>
      <c r="Q4" s="29" t="s">
        <v>26</v>
      </c>
      <c r="R4" s="30"/>
      <c r="S4" s="27" t="s">
        <v>30</v>
      </c>
      <c r="T4" s="28"/>
      <c r="U4" s="28"/>
      <c r="V4" s="28"/>
      <c r="W4" s="31"/>
    </row>
    <row r="5" spans="1:23">
      <c r="F5" s="59" t="s">
        <v>12</v>
      </c>
      <c r="G5" s="60"/>
      <c r="H5" s="60"/>
      <c r="I5" s="175">
        <f>E12</f>
        <v>210</v>
      </c>
      <c r="J5" s="175"/>
      <c r="K5" s="60" t="s">
        <v>15</v>
      </c>
      <c r="L5" s="61"/>
      <c r="M5" s="60"/>
      <c r="N5" s="60"/>
      <c r="O5" s="62">
        <f>Q12</f>
        <v>250</v>
      </c>
      <c r="Q5" s="29" t="s">
        <v>27</v>
      </c>
      <c r="R5" s="30"/>
      <c r="S5" s="27" t="s">
        <v>32</v>
      </c>
      <c r="T5" s="28"/>
      <c r="U5" s="28"/>
      <c r="V5" s="28"/>
      <c r="W5" s="31"/>
    </row>
    <row r="6" spans="1:23" ht="16" thickBot="1">
      <c r="F6" s="66"/>
      <c r="G6" s="61"/>
      <c r="H6" s="61"/>
      <c r="I6" s="61"/>
      <c r="J6" s="61"/>
      <c r="K6" s="60" t="s">
        <v>14</v>
      </c>
      <c r="L6" s="60"/>
      <c r="M6" s="60"/>
      <c r="N6" s="61"/>
      <c r="O6" s="62">
        <f>L21</f>
        <v>210</v>
      </c>
      <c r="Q6" s="29" t="s">
        <v>28</v>
      </c>
      <c r="R6" s="30"/>
      <c r="S6" s="27" t="s">
        <v>33</v>
      </c>
      <c r="T6" s="28"/>
      <c r="U6" s="28"/>
      <c r="V6" s="28"/>
      <c r="W6" s="31"/>
    </row>
    <row r="7" spans="1:23" ht="16" thickBot="1">
      <c r="F7" s="63" t="s">
        <v>16</v>
      </c>
      <c r="G7" s="64"/>
      <c r="H7" s="64"/>
      <c r="I7" s="176">
        <f>I5+O5</f>
        <v>460</v>
      </c>
      <c r="J7" s="176"/>
      <c r="K7" s="65" t="s">
        <v>17</v>
      </c>
      <c r="L7" s="64"/>
      <c r="M7" s="64"/>
      <c r="N7" s="177">
        <f>I5+O5+O6</f>
        <v>670</v>
      </c>
      <c r="O7" s="178"/>
      <c r="Q7" s="32" t="s">
        <v>29</v>
      </c>
      <c r="R7" s="33"/>
      <c r="S7" s="34" t="s">
        <v>34</v>
      </c>
      <c r="T7" s="35"/>
      <c r="U7" s="35"/>
      <c r="V7" s="35"/>
      <c r="W7" s="36"/>
    </row>
    <row r="9" spans="1:23" ht="6" customHeight="1" thickBot="1"/>
    <row r="10" spans="1:23" ht="16" thickBot="1">
      <c r="A10" s="179" t="s">
        <v>12</v>
      </c>
      <c r="B10" s="180"/>
      <c r="C10" s="180"/>
      <c r="D10" s="180"/>
      <c r="E10" s="180"/>
      <c r="F10" s="180"/>
      <c r="G10" s="180"/>
      <c r="H10" s="180"/>
      <c r="I10" s="180"/>
      <c r="J10" s="181"/>
      <c r="K10" s="25"/>
      <c r="L10" s="25"/>
      <c r="M10" s="182" t="s">
        <v>82</v>
      </c>
      <c r="N10" s="183"/>
      <c r="O10" s="183"/>
      <c r="P10" s="183"/>
      <c r="Q10" s="183"/>
      <c r="R10" s="183"/>
      <c r="S10" s="183"/>
      <c r="T10" s="183"/>
      <c r="U10" s="183"/>
      <c r="V10" s="184"/>
    </row>
    <row r="11" spans="1:23" ht="15.75" customHeight="1">
      <c r="A11" s="102"/>
      <c r="B11" s="103" t="s">
        <v>35</v>
      </c>
      <c r="C11" s="103" t="s">
        <v>36</v>
      </c>
      <c r="D11" s="103"/>
      <c r="E11" s="103" t="s">
        <v>18</v>
      </c>
      <c r="F11" s="103"/>
      <c r="G11" s="103"/>
      <c r="H11" s="155" t="s">
        <v>42</v>
      </c>
      <c r="I11" s="155"/>
      <c r="J11" s="156"/>
      <c r="K11" s="25"/>
      <c r="L11" s="25"/>
      <c r="M11" s="39"/>
      <c r="N11" s="40" t="s">
        <v>35</v>
      </c>
      <c r="O11" s="40" t="s">
        <v>36</v>
      </c>
      <c r="P11" s="40"/>
      <c r="Q11" s="40" t="s">
        <v>82</v>
      </c>
      <c r="R11" s="40"/>
      <c r="S11" s="40"/>
      <c r="T11" s="40"/>
      <c r="U11" s="40"/>
      <c r="V11" s="41"/>
    </row>
    <row r="12" spans="1:23">
      <c r="A12" s="102"/>
      <c r="B12" s="103">
        <f>SUM(C38:V38,C69:T69,C95:R95)</f>
        <v>0</v>
      </c>
      <c r="C12" s="103">
        <f>ROUND(B12,0)</f>
        <v>0</v>
      </c>
      <c r="D12" s="103"/>
      <c r="E12" s="103">
        <f>VLOOKUP(C12,Tables!A3:D75,3,TRUE)</f>
        <v>210</v>
      </c>
      <c r="F12" s="103"/>
      <c r="G12" s="103"/>
      <c r="H12" s="157"/>
      <c r="I12" s="157"/>
      <c r="J12" s="158"/>
      <c r="K12" s="25"/>
      <c r="L12" s="25"/>
      <c r="M12" s="39"/>
      <c r="N12" s="40">
        <f>SUM(C45:V45,C50:F50,C76:V76,C81:F81,C88:U88)</f>
        <v>0</v>
      </c>
      <c r="O12" s="40">
        <f>ROUND(N12,0)</f>
        <v>0</v>
      </c>
      <c r="P12" s="40"/>
      <c r="Q12" s="40">
        <f>VLOOKUP(O12,Tables!A3:D75,2,TRUE)</f>
        <v>250</v>
      </c>
      <c r="R12" s="40"/>
      <c r="S12" s="40"/>
      <c r="T12" s="40"/>
      <c r="U12" s="40"/>
      <c r="V12" s="41"/>
    </row>
    <row r="13" spans="1:23">
      <c r="A13" s="102" t="s">
        <v>37</v>
      </c>
      <c r="B13" s="103"/>
      <c r="C13" s="103" t="s">
        <v>38</v>
      </c>
      <c r="D13" s="104" t="s">
        <v>39</v>
      </c>
      <c r="E13" s="103"/>
      <c r="F13" s="103" t="s">
        <v>40</v>
      </c>
      <c r="G13" s="103"/>
      <c r="H13" s="157"/>
      <c r="I13" s="157"/>
      <c r="J13" s="158"/>
      <c r="K13" s="25"/>
      <c r="L13" s="25"/>
      <c r="M13" s="112" t="s">
        <v>37</v>
      </c>
      <c r="N13" s="113"/>
      <c r="O13" s="113"/>
      <c r="P13" s="113" t="s">
        <v>38</v>
      </c>
      <c r="Q13" s="113" t="s">
        <v>39</v>
      </c>
      <c r="R13" s="113"/>
      <c r="S13" s="113" t="s">
        <v>40</v>
      </c>
      <c r="T13" s="113"/>
      <c r="U13" s="113" t="s">
        <v>41</v>
      </c>
      <c r="V13" s="114"/>
    </row>
    <row r="14" spans="1:23">
      <c r="A14" s="105" t="s">
        <v>19</v>
      </c>
      <c r="B14" s="106"/>
      <c r="C14" s="106">
        <f>COUNTIF($C$35:$V$35,"g")+COUNTIF($C$66:$T$66,"g")+COUNTIF($C$85:$R$85,"g")</f>
        <v>12</v>
      </c>
      <c r="D14" s="106">
        <v>0</v>
      </c>
      <c r="E14" s="106"/>
      <c r="F14" s="106">
        <v>1</v>
      </c>
      <c r="G14" s="106"/>
      <c r="H14" s="107">
        <f>D14/(F14+D14)</f>
        <v>0</v>
      </c>
      <c r="I14" s="103"/>
      <c r="J14" s="108"/>
      <c r="K14" s="25"/>
      <c r="L14" s="25"/>
      <c r="M14" s="42" t="s">
        <v>44</v>
      </c>
      <c r="N14" s="37"/>
      <c r="O14" s="37"/>
      <c r="P14" s="37">
        <f>COUNTIF($C$42:$V$42,"sc")+COUNTIF($C$47:$F$47,"sc")+COUNTIF($C$73:$V$73,"sc")+COUNTIF($C$78:$F$78,"sc")+COUNTIF($C$92:$U92,"sc")</f>
        <v>19</v>
      </c>
      <c r="Q14" s="37">
        <v>5</v>
      </c>
      <c r="R14" s="37"/>
      <c r="S14" s="37">
        <v>0</v>
      </c>
      <c r="T14" s="37"/>
      <c r="U14" s="38">
        <f>Q14/(S14+Q14)</f>
        <v>1</v>
      </c>
      <c r="V14" s="43"/>
    </row>
    <row r="15" spans="1:23">
      <c r="A15" s="105" t="s">
        <v>20</v>
      </c>
      <c r="B15" s="106"/>
      <c r="C15" s="106">
        <f>COUNTIF($C$35:$V$35,"n")+COUNTIF($C$66:$T$66,"n")+COUNTIF($C$85:$R$85,"n")</f>
        <v>7</v>
      </c>
      <c r="D15" s="106">
        <v>0</v>
      </c>
      <c r="E15" s="106"/>
      <c r="F15" s="106">
        <v>2</v>
      </c>
      <c r="G15" s="106"/>
      <c r="H15" s="107">
        <f>D15/(F15+D15)</f>
        <v>0</v>
      </c>
      <c r="I15" s="103"/>
      <c r="J15" s="108"/>
      <c r="K15" s="25"/>
      <c r="L15" s="25"/>
      <c r="M15" s="42" t="s">
        <v>43</v>
      </c>
      <c r="N15" s="37"/>
      <c r="O15" s="37"/>
      <c r="P15" s="37">
        <f>COUNTIF($C$42:$V$42,"pb")+COUNTIF($C$47:$F$47,"pb")+COUNTIF($C$73:$V$73,"pb")+COUNTIF($C$78:$F$78,"pb")+COUNTIF($C$92:$U92,"pb")</f>
        <v>48</v>
      </c>
      <c r="Q15" s="37">
        <v>15</v>
      </c>
      <c r="R15" s="37"/>
      <c r="S15" s="37">
        <v>0</v>
      </c>
      <c r="T15" s="37"/>
      <c r="U15" s="38">
        <f>Q15/(S15+Q15)</f>
        <v>1</v>
      </c>
      <c r="V15" s="43"/>
    </row>
    <row r="16" spans="1:23">
      <c r="A16" s="105" t="s">
        <v>21</v>
      </c>
      <c r="B16" s="106"/>
      <c r="C16" s="106">
        <f>COUNTIF($C$35:$V$35,"l")+COUNTIF($C$66:$T$66,"l")+COUNTIF($C$85:$R$85,"l")</f>
        <v>3</v>
      </c>
      <c r="D16" s="106">
        <v>0</v>
      </c>
      <c r="E16" s="106"/>
      <c r="F16" s="106">
        <v>1</v>
      </c>
      <c r="G16" s="106"/>
      <c r="H16" s="107">
        <f>D16/(F16+D16)</f>
        <v>0</v>
      </c>
      <c r="I16" s="103"/>
      <c r="J16" s="108"/>
      <c r="K16" s="25"/>
      <c r="L16" s="25"/>
      <c r="M16" s="39"/>
      <c r="N16" s="40"/>
      <c r="O16" s="40"/>
      <c r="P16" s="40"/>
      <c r="Q16" s="40"/>
      <c r="R16" s="40"/>
      <c r="S16" s="40"/>
      <c r="T16" s="40"/>
      <c r="U16" s="40"/>
      <c r="V16" s="41"/>
    </row>
    <row r="17" spans="1:23">
      <c r="A17" s="105" t="s">
        <v>22</v>
      </c>
      <c r="B17" s="106"/>
      <c r="C17" s="106">
        <f>COUNTIF($C$35:$V$35,"a")+COUNTIF($C$66:$T$66,"a")+COUNTIF($C$85:$R$85,"a")</f>
        <v>26</v>
      </c>
      <c r="D17" s="106">
        <v>0</v>
      </c>
      <c r="E17" s="106"/>
      <c r="F17" s="106">
        <v>5</v>
      </c>
      <c r="G17" s="106"/>
      <c r="H17" s="107">
        <f>D17/(F17+D17)</f>
        <v>0</v>
      </c>
      <c r="I17" s="103"/>
      <c r="J17" s="108"/>
      <c r="K17" s="25"/>
      <c r="L17" s="25"/>
      <c r="M17" s="39"/>
      <c r="N17" s="40"/>
      <c r="O17" s="40"/>
      <c r="P17" s="40"/>
      <c r="Q17" s="40"/>
      <c r="R17" s="40"/>
      <c r="S17" s="40"/>
      <c r="T17" s="40"/>
      <c r="U17" s="40"/>
      <c r="V17" s="41"/>
    </row>
    <row r="18" spans="1:23" ht="16" thickBot="1">
      <c r="A18" s="109" t="s">
        <v>23</v>
      </c>
      <c r="B18" s="110"/>
      <c r="C18" s="110">
        <f>COUNTIF($C$35:$V$35,"d")+COUNTIF($C$66:$T$66,"d")+COUNTIF($C$85:$R$85,"d")</f>
        <v>6</v>
      </c>
      <c r="D18" s="110">
        <v>0</v>
      </c>
      <c r="E18" s="110"/>
      <c r="F18" s="110">
        <v>1</v>
      </c>
      <c r="G18" s="110"/>
      <c r="H18" s="111">
        <f>D18/(F18+D18)</f>
        <v>0</v>
      </c>
      <c r="I18" s="103"/>
      <c r="J18" s="108"/>
      <c r="K18" s="25"/>
      <c r="L18" s="25"/>
      <c r="M18" s="39"/>
      <c r="N18" s="40"/>
      <c r="O18" s="40"/>
      <c r="P18" s="40"/>
      <c r="Q18" s="40"/>
      <c r="R18" s="40"/>
      <c r="S18" s="40"/>
      <c r="T18" s="44"/>
      <c r="U18" s="44"/>
      <c r="V18" s="45"/>
    </row>
    <row r="19" spans="1:23" ht="16" thickBot="1">
      <c r="H19" s="159" t="s">
        <v>14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1"/>
    </row>
    <row r="20" spans="1:23">
      <c r="H20" s="46"/>
      <c r="I20" s="47" t="s">
        <v>35</v>
      </c>
      <c r="J20" s="47" t="s">
        <v>36</v>
      </c>
      <c r="K20" s="47"/>
      <c r="L20" s="47" t="s">
        <v>63</v>
      </c>
      <c r="M20" s="47"/>
      <c r="N20" s="47"/>
      <c r="O20" s="47" t="s">
        <v>76</v>
      </c>
      <c r="P20" s="47"/>
      <c r="Q20" s="47"/>
      <c r="R20" s="47"/>
      <c r="S20" s="48"/>
    </row>
    <row r="21" spans="1:23">
      <c r="H21" s="46"/>
      <c r="I21" s="47">
        <f>SUM(C57:V57,C62:Q62,C102:P102)</f>
        <v>-3.5</v>
      </c>
      <c r="J21" s="47">
        <f>ROUND(I21,0)</f>
        <v>-4</v>
      </c>
      <c r="K21" s="47"/>
      <c r="L21" s="47">
        <f>INDEX(Tables!F12:R74, MATCH(J21,Tables!F12:F74,0), MATCH(O21,Tables!F12:R12,0))</f>
        <v>210</v>
      </c>
      <c r="M21" s="47"/>
      <c r="N21" s="47"/>
      <c r="O21" s="49">
        <v>6</v>
      </c>
      <c r="P21" s="47"/>
      <c r="Q21" s="47"/>
      <c r="R21" s="47"/>
      <c r="S21" s="48"/>
    </row>
    <row r="22" spans="1:23">
      <c r="H22" s="115" t="s">
        <v>37</v>
      </c>
      <c r="I22" s="116"/>
      <c r="J22" s="116"/>
      <c r="K22" s="116"/>
      <c r="L22" s="116"/>
      <c r="M22" s="117" t="s">
        <v>38</v>
      </c>
      <c r="N22" s="116" t="s">
        <v>39</v>
      </c>
      <c r="O22" s="116"/>
      <c r="P22" s="116" t="s">
        <v>40</v>
      </c>
      <c r="Q22" s="116"/>
      <c r="R22" s="116" t="s">
        <v>41</v>
      </c>
      <c r="S22" s="118"/>
    </row>
    <row r="23" spans="1:23">
      <c r="H23" s="52" t="s">
        <v>45</v>
      </c>
      <c r="I23" s="50"/>
      <c r="J23" s="50"/>
      <c r="K23" s="50"/>
      <c r="L23" s="50"/>
      <c r="M23" s="50">
        <f>COUNTIF($C$54:$V$54,"is")+COUNTIF($C$59:$Q$59,"is")+COUNTIF($C$99:$P$99,"is")</f>
        <v>25</v>
      </c>
      <c r="N23" s="50">
        <v>0</v>
      </c>
      <c r="O23" s="50"/>
      <c r="P23" s="50">
        <v>25</v>
      </c>
      <c r="Q23" s="50"/>
      <c r="R23" s="51">
        <f>N23/(P23+N23)</f>
        <v>0</v>
      </c>
      <c r="S23" s="53"/>
    </row>
    <row r="24" spans="1:23">
      <c r="H24" s="52" t="s">
        <v>46</v>
      </c>
      <c r="I24" s="50"/>
      <c r="J24" s="50"/>
      <c r="K24" s="50"/>
      <c r="L24" s="50"/>
      <c r="M24" s="50">
        <f>COUNTIF($C$54:$V$54,"ip")+COUNTIF($C$59:$Q$59,"ip")+COUNTIF($C$99:$P$99,"ip")</f>
        <v>6</v>
      </c>
      <c r="N24" s="50">
        <v>0</v>
      </c>
      <c r="O24" s="50"/>
      <c r="P24" s="50">
        <v>6</v>
      </c>
      <c r="Q24" s="50"/>
      <c r="R24" s="51">
        <f>N24/(P24+N24)</f>
        <v>0</v>
      </c>
      <c r="S24" s="53"/>
    </row>
    <row r="25" spans="1:23" ht="16" thickBot="1">
      <c r="H25" s="54" t="s">
        <v>47</v>
      </c>
      <c r="I25" s="55"/>
      <c r="J25" s="55"/>
      <c r="K25" s="55"/>
      <c r="L25" s="55"/>
      <c r="M25" s="55">
        <f>COUNTIF($C$54:$V$54,"ise")+COUNTIF($C$59:$Q$59,"ise")+COUNTIF($C$99:$P$99,"ise")</f>
        <v>18</v>
      </c>
      <c r="N25" s="55">
        <v>0</v>
      </c>
      <c r="O25" s="55"/>
      <c r="P25" s="55">
        <v>18</v>
      </c>
      <c r="Q25" s="55"/>
      <c r="R25" s="56">
        <f>N25/(P25+N25)</f>
        <v>0</v>
      </c>
      <c r="S25" s="57"/>
    </row>
    <row r="26" spans="1:23" ht="4.5" customHeight="1"/>
    <row r="27" spans="1:23" ht="16" thickBot="1">
      <c r="A27" s="162" t="s">
        <v>86</v>
      </c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spans="1:23" ht="15.75" customHeight="1" thickBot="1">
      <c r="A28" s="163" t="s">
        <v>12</v>
      </c>
      <c r="B28" s="164"/>
      <c r="C28" s="164"/>
      <c r="D28" s="164"/>
      <c r="E28" s="165"/>
      <c r="F28" s="67"/>
      <c r="G28" s="166" t="s">
        <v>82</v>
      </c>
      <c r="H28" s="167"/>
      <c r="I28" s="167"/>
      <c r="J28" s="167"/>
      <c r="K28" s="167"/>
      <c r="L28" s="167"/>
      <c r="M28" s="167"/>
      <c r="N28" s="168"/>
      <c r="O28" s="68"/>
      <c r="P28" s="169" t="s">
        <v>14</v>
      </c>
      <c r="Q28" s="170"/>
      <c r="R28" s="170"/>
      <c r="S28" s="170"/>
      <c r="T28" s="170"/>
      <c r="U28" s="170"/>
      <c r="V28" s="170"/>
      <c r="W28" s="171"/>
    </row>
    <row r="29" spans="1:23" ht="15.75" customHeight="1">
      <c r="A29" s="138" t="s">
        <v>87</v>
      </c>
      <c r="B29" s="151" t="s">
        <v>88</v>
      </c>
      <c r="C29" s="151"/>
      <c r="D29" s="151" t="s">
        <v>89</v>
      </c>
      <c r="E29" s="153" t="s">
        <v>70</v>
      </c>
      <c r="F29" s="67"/>
      <c r="G29" s="140" t="s">
        <v>90</v>
      </c>
      <c r="H29" s="141"/>
      <c r="I29" s="141"/>
      <c r="J29" s="141" t="s">
        <v>43</v>
      </c>
      <c r="K29" s="141"/>
      <c r="L29" s="141"/>
      <c r="M29" s="141"/>
      <c r="N29" s="132" t="s">
        <v>70</v>
      </c>
      <c r="O29" s="68"/>
      <c r="P29" s="134" t="s">
        <v>91</v>
      </c>
      <c r="Q29" s="135"/>
      <c r="R29" s="135" t="s">
        <v>92</v>
      </c>
      <c r="S29" s="135"/>
      <c r="T29" s="135"/>
      <c r="U29" s="135" t="s">
        <v>93</v>
      </c>
      <c r="V29" s="135" t="s">
        <v>70</v>
      </c>
      <c r="W29" s="142"/>
    </row>
    <row r="30" spans="1:23" ht="14.25" customHeight="1">
      <c r="A30" s="139"/>
      <c r="B30" s="152"/>
      <c r="C30" s="152"/>
      <c r="D30" s="152"/>
      <c r="E30" s="154"/>
      <c r="F30" s="67"/>
      <c r="G30" s="72" t="s">
        <v>94</v>
      </c>
      <c r="H30" s="69" t="s">
        <v>95</v>
      </c>
      <c r="I30" s="69" t="s">
        <v>96</v>
      </c>
      <c r="J30" s="70" t="s">
        <v>97</v>
      </c>
      <c r="K30" s="69"/>
      <c r="L30" s="69"/>
      <c r="M30" s="69" t="s">
        <v>98</v>
      </c>
      <c r="N30" s="133"/>
      <c r="O30" s="68"/>
      <c r="P30" s="136"/>
      <c r="Q30" s="137"/>
      <c r="R30" s="137"/>
      <c r="S30" s="137"/>
      <c r="T30" s="137"/>
      <c r="U30" s="137"/>
      <c r="V30" s="137"/>
      <c r="W30" s="143"/>
    </row>
    <row r="31" spans="1:23" ht="44.25" customHeight="1" thickBot="1">
      <c r="A31" s="75">
        <f>VLOOKUP(I5,Tables!H1:L9,4,TRUE)</f>
        <v>9</v>
      </c>
      <c r="B31" s="144" t="str">
        <f>VLOOKUP(I5,Tables!H1:L9,3,TRUE)</f>
        <v>4 MC, 5 GI</v>
      </c>
      <c r="C31" s="145"/>
      <c r="D31" s="76">
        <f>VLOOKUP(I5,Tables!H1:L9,2,TRUE)</f>
        <v>11</v>
      </c>
      <c r="E31" s="71">
        <f>VLOOKUP(I5,Tables!H1:L9,5,TRUE)</f>
        <v>530</v>
      </c>
      <c r="F31" s="67"/>
      <c r="G31" s="77">
        <f>VLOOKUP(Z48,Tables!A79:E87,2,TRUE)</f>
        <v>4</v>
      </c>
      <c r="H31" s="78">
        <f>VLOOKUP(Z48,Tables!A79:E87,3,TRUE)</f>
        <v>3</v>
      </c>
      <c r="I31" s="78">
        <f>VLOOKUP(Z48,Tables!A79:E87,4,TRUE)</f>
        <v>3</v>
      </c>
      <c r="J31" s="146" t="str">
        <f>VLOOKUP(Y48,Tables!G79:K87,3,TRUE)</f>
        <v>26 of 48</v>
      </c>
      <c r="K31" s="146"/>
      <c r="L31" s="146"/>
      <c r="M31" s="73">
        <f>VLOOKUP(Y48,Tables!G79:K87,4,TRUE)</f>
        <v>0.54</v>
      </c>
      <c r="N31" s="74">
        <f>VLOOKUP(Y48,Tables!G79:K87,5,TRUE)</f>
        <v>530</v>
      </c>
      <c r="O31" s="68"/>
      <c r="P31" s="147">
        <f>VLOOKUP(O6,Tables!M79:Q89,2,TRUE)</f>
        <v>7</v>
      </c>
      <c r="Q31" s="148"/>
      <c r="R31" s="148" t="str">
        <f>VLOOKUP(O6,Tables!M79:Q89,3,TRUE)</f>
        <v>12-22, 3 of #30-35</v>
      </c>
      <c r="S31" s="148"/>
      <c r="T31" s="148"/>
      <c r="U31" s="79">
        <f>VLOOKUP(O6,Tables!M79:Q89,4,TRUE)</f>
        <v>8</v>
      </c>
      <c r="V31" s="149">
        <f>VLOOKUP(O6,Tables!M79:Q89,5,TRUE)</f>
        <v>530</v>
      </c>
      <c r="W31" s="150"/>
    </row>
    <row r="32" spans="1:23">
      <c r="A32" s="9" t="s">
        <v>0</v>
      </c>
      <c r="B32" s="1"/>
      <c r="C32" s="9" t="s">
        <v>77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6">
      <c r="A34" s="1" t="s">
        <v>1</v>
      </c>
      <c r="B34" s="1"/>
      <c r="C34" s="24">
        <v>1</v>
      </c>
      <c r="D34" s="24">
        <v>2</v>
      </c>
      <c r="E34" s="24">
        <v>3</v>
      </c>
      <c r="F34" s="24">
        <v>4</v>
      </c>
      <c r="G34" s="24">
        <v>5</v>
      </c>
      <c r="H34" s="24">
        <v>6</v>
      </c>
      <c r="I34" s="24">
        <v>7</v>
      </c>
      <c r="J34" s="24">
        <v>8</v>
      </c>
      <c r="K34" s="24">
        <v>9</v>
      </c>
      <c r="L34" s="24">
        <v>10</v>
      </c>
      <c r="M34" s="24">
        <v>11</v>
      </c>
      <c r="N34" s="24">
        <v>12</v>
      </c>
      <c r="O34" s="24">
        <v>13</v>
      </c>
      <c r="P34" s="24">
        <v>14</v>
      </c>
      <c r="Q34" s="24">
        <v>15</v>
      </c>
      <c r="R34" s="24">
        <v>16</v>
      </c>
      <c r="S34" s="24">
        <v>17</v>
      </c>
      <c r="T34" s="24">
        <v>18</v>
      </c>
      <c r="U34" s="24">
        <v>19</v>
      </c>
      <c r="V34" s="24">
        <v>20</v>
      </c>
    </row>
    <row r="35" spans="1:26" ht="15" customHeight="1">
      <c r="A35" s="1" t="s">
        <v>2</v>
      </c>
      <c r="B35" s="1"/>
      <c r="C35" s="18" t="s">
        <v>50</v>
      </c>
      <c r="D35" s="18" t="s">
        <v>54</v>
      </c>
      <c r="E35" s="18" t="s">
        <v>55</v>
      </c>
      <c r="F35" s="18" t="s">
        <v>56</v>
      </c>
      <c r="G35" s="18" t="s">
        <v>50</v>
      </c>
      <c r="H35" s="18" t="s">
        <v>50</v>
      </c>
      <c r="I35" s="18" t="s">
        <v>50</v>
      </c>
      <c r="J35" s="18" t="s">
        <v>50</v>
      </c>
      <c r="K35" s="18" t="s">
        <v>50</v>
      </c>
      <c r="L35" s="18" t="s">
        <v>56</v>
      </c>
      <c r="M35" s="18" t="s">
        <v>50</v>
      </c>
      <c r="N35" s="18" t="s">
        <v>52</v>
      </c>
      <c r="O35" s="18" t="s">
        <v>50</v>
      </c>
      <c r="P35" s="18" t="s">
        <v>56</v>
      </c>
      <c r="Q35" s="18" t="s">
        <v>50</v>
      </c>
      <c r="R35" s="18" t="s">
        <v>50</v>
      </c>
      <c r="S35" s="18" t="s">
        <v>52</v>
      </c>
      <c r="T35" s="18" t="s">
        <v>56</v>
      </c>
      <c r="U35" s="18" t="s">
        <v>50</v>
      </c>
      <c r="V35" s="18" t="s">
        <v>54</v>
      </c>
    </row>
    <row r="36" spans="1:26" ht="15.75" customHeight="1">
      <c r="A36" s="1" t="s">
        <v>3</v>
      </c>
      <c r="B36" s="1"/>
      <c r="C36" s="1" t="s">
        <v>48</v>
      </c>
      <c r="D36" s="1" t="s">
        <v>48</v>
      </c>
      <c r="E36" s="1" t="s">
        <v>49</v>
      </c>
      <c r="F36" s="1" t="s">
        <v>50</v>
      </c>
      <c r="G36" s="1" t="s">
        <v>51</v>
      </c>
      <c r="H36" s="1" t="s">
        <v>48</v>
      </c>
      <c r="I36" s="1" t="s">
        <v>51</v>
      </c>
      <c r="J36" s="1" t="s">
        <v>50</v>
      </c>
      <c r="K36" s="1" t="s">
        <v>49</v>
      </c>
      <c r="L36" s="1" t="s">
        <v>48</v>
      </c>
      <c r="M36" s="1" t="s">
        <v>48</v>
      </c>
      <c r="N36" s="1" t="s">
        <v>48</v>
      </c>
      <c r="O36" s="1" t="s">
        <v>52</v>
      </c>
      <c r="P36" s="1" t="s">
        <v>48</v>
      </c>
      <c r="Q36" s="1" t="s">
        <v>51</v>
      </c>
      <c r="R36" s="1" t="s">
        <v>52</v>
      </c>
      <c r="S36" s="1" t="s">
        <v>50</v>
      </c>
      <c r="T36" s="1" t="s">
        <v>51</v>
      </c>
      <c r="U36" s="1" t="s">
        <v>48</v>
      </c>
      <c r="V36" s="1" t="s">
        <v>50</v>
      </c>
    </row>
    <row r="37" spans="1:26" ht="14.25" customHeight="1">
      <c r="A37" s="129" t="s">
        <v>4</v>
      </c>
      <c r="B37" s="129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Y37" t="s">
        <v>140</v>
      </c>
      <c r="Z37" t="s">
        <v>141</v>
      </c>
    </row>
    <row r="38" spans="1:26" ht="14.25" hidden="1" customHeight="1">
      <c r="A38" s="1" t="s">
        <v>53</v>
      </c>
      <c r="B38" s="1"/>
      <c r="C38" s="1">
        <f>IF(C37="",0,IF(C37=C36,1,-0.25))</f>
        <v>0</v>
      </c>
      <c r="D38" s="1">
        <f t="shared" ref="D38:V38" si="0">IF(D37="",0,IF(D37=D36,1,-0.25))</f>
        <v>0</v>
      </c>
      <c r="E38" s="1">
        <f t="shared" si="0"/>
        <v>0</v>
      </c>
      <c r="F38" s="1">
        <f t="shared" si="0"/>
        <v>0</v>
      </c>
      <c r="G38" s="1">
        <f t="shared" si="0"/>
        <v>0</v>
      </c>
      <c r="H38" s="1">
        <f t="shared" si="0"/>
        <v>0</v>
      </c>
      <c r="I38" s="1">
        <f t="shared" si="0"/>
        <v>0</v>
      </c>
      <c r="J38" s="1">
        <f t="shared" si="0"/>
        <v>0</v>
      </c>
      <c r="K38" s="1">
        <f t="shared" si="0"/>
        <v>0</v>
      </c>
      <c r="L38" s="1">
        <f t="shared" si="0"/>
        <v>0</v>
      </c>
      <c r="M38" s="1">
        <f t="shared" si="0"/>
        <v>0</v>
      </c>
      <c r="N38" s="1">
        <f t="shared" si="0"/>
        <v>0</v>
      </c>
      <c r="O38" s="1">
        <f t="shared" si="0"/>
        <v>0</v>
      </c>
      <c r="P38" s="1">
        <f t="shared" si="0"/>
        <v>0</v>
      </c>
      <c r="Q38" s="1">
        <f t="shared" si="0"/>
        <v>0</v>
      </c>
      <c r="R38" s="1">
        <f t="shared" si="0"/>
        <v>0</v>
      </c>
      <c r="S38" s="1">
        <f t="shared" si="0"/>
        <v>0</v>
      </c>
      <c r="T38" s="1">
        <f t="shared" si="0"/>
        <v>0</v>
      </c>
      <c r="U38" s="1">
        <f t="shared" si="0"/>
        <v>0</v>
      </c>
      <c r="V38" s="1">
        <f t="shared" si="0"/>
        <v>0</v>
      </c>
    </row>
    <row r="39" spans="1:26" ht="14.25" customHeight="1">
      <c r="A39" s="8" t="s">
        <v>5</v>
      </c>
      <c r="B39" s="2"/>
      <c r="C39" s="8" t="s">
        <v>78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Y39">
        <f>SUMIF(C42:V42,"=pb",C45:V45)</f>
        <v>0</v>
      </c>
      <c r="Z39" s="119">
        <f>SUMIF(C42:V42,"=sc",C45:V45)</f>
        <v>0</v>
      </c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Y40">
        <f>SUMIF(C47:F47,"=pb",C50:F50)</f>
        <v>0</v>
      </c>
      <c r="Z40">
        <f>SUMIF(C47:F47,"=sc",C50:F50)</f>
        <v>0</v>
      </c>
    </row>
    <row r="41" spans="1:26">
      <c r="A41" s="2" t="s">
        <v>1</v>
      </c>
      <c r="B41" s="2"/>
      <c r="C41" s="23">
        <v>1</v>
      </c>
      <c r="D41" s="23">
        <v>2</v>
      </c>
      <c r="E41" s="23">
        <v>3</v>
      </c>
      <c r="F41" s="23">
        <v>4</v>
      </c>
      <c r="G41" s="23">
        <v>5</v>
      </c>
      <c r="H41" s="23">
        <v>6</v>
      </c>
      <c r="I41" s="23">
        <v>7</v>
      </c>
      <c r="J41" s="23">
        <v>8</v>
      </c>
      <c r="K41" s="23">
        <v>9</v>
      </c>
      <c r="L41" s="23">
        <v>10</v>
      </c>
      <c r="M41" s="23">
        <v>11</v>
      </c>
      <c r="N41" s="23">
        <v>12</v>
      </c>
      <c r="O41" s="23">
        <v>13</v>
      </c>
      <c r="P41" s="23">
        <v>14</v>
      </c>
      <c r="Q41" s="23">
        <v>15</v>
      </c>
      <c r="R41" s="23">
        <v>16</v>
      </c>
      <c r="S41" s="23">
        <v>17</v>
      </c>
      <c r="T41" s="23">
        <v>18</v>
      </c>
      <c r="U41" s="23">
        <v>19</v>
      </c>
      <c r="V41" s="23">
        <v>20</v>
      </c>
      <c r="Y41">
        <f>SUMIF(C73:V73,"=pb",C76:V76)</f>
        <v>0</v>
      </c>
      <c r="Z41">
        <f>SUMIF(C73:V73,"=sc",C76:V76)</f>
        <v>0</v>
      </c>
    </row>
    <row r="42" spans="1:26">
      <c r="A42" s="2" t="s">
        <v>2</v>
      </c>
      <c r="B42" s="2"/>
      <c r="C42" s="19" t="s">
        <v>57</v>
      </c>
      <c r="D42" s="19" t="s">
        <v>57</v>
      </c>
      <c r="E42" s="19" t="s">
        <v>57</v>
      </c>
      <c r="F42" s="19" t="s">
        <v>57</v>
      </c>
      <c r="G42" s="19" t="s">
        <v>57</v>
      </c>
      <c r="H42" s="19" t="s">
        <v>58</v>
      </c>
      <c r="I42" s="19" t="s">
        <v>58</v>
      </c>
      <c r="J42" s="19" t="s">
        <v>58</v>
      </c>
      <c r="K42" s="19" t="s">
        <v>58</v>
      </c>
      <c r="L42" s="19" t="s">
        <v>58</v>
      </c>
      <c r="M42" s="19" t="s">
        <v>58</v>
      </c>
      <c r="N42" s="19" t="s">
        <v>58</v>
      </c>
      <c r="O42" s="19" t="s">
        <v>58</v>
      </c>
      <c r="P42" s="19" t="s">
        <v>58</v>
      </c>
      <c r="Q42" s="19" t="s">
        <v>58</v>
      </c>
      <c r="R42" s="19" t="s">
        <v>58</v>
      </c>
      <c r="S42" s="19" t="s">
        <v>58</v>
      </c>
      <c r="T42" s="19" t="s">
        <v>58</v>
      </c>
      <c r="U42" s="19" t="s">
        <v>58</v>
      </c>
      <c r="V42" s="19" t="s">
        <v>58</v>
      </c>
      <c r="Y42">
        <f>SUMIF(C78:F78,"=pb",C81:F81)</f>
        <v>0</v>
      </c>
      <c r="Z42">
        <f>SUMIF(C78:F78,"=sc",C81:F81)</f>
        <v>0</v>
      </c>
    </row>
    <row r="43" spans="1:26">
      <c r="A43" s="2" t="s">
        <v>3</v>
      </c>
      <c r="B43" s="2"/>
      <c r="C43" s="2" t="s">
        <v>49</v>
      </c>
      <c r="D43" s="2" t="s">
        <v>50</v>
      </c>
      <c r="E43" s="2" t="s">
        <v>51</v>
      </c>
      <c r="F43" s="2" t="s">
        <v>50</v>
      </c>
      <c r="G43" s="2" t="s">
        <v>50</v>
      </c>
      <c r="H43" s="2" t="s">
        <v>49</v>
      </c>
      <c r="I43" s="2" t="s">
        <v>49</v>
      </c>
      <c r="J43" s="2" t="s">
        <v>48</v>
      </c>
      <c r="K43" s="2" t="s">
        <v>48</v>
      </c>
      <c r="L43" s="2" t="s">
        <v>50</v>
      </c>
      <c r="M43" s="2" t="s">
        <v>52</v>
      </c>
      <c r="N43" s="2" t="s">
        <v>48</v>
      </c>
      <c r="O43" s="2" t="s">
        <v>49</v>
      </c>
      <c r="P43" s="2" t="s">
        <v>52</v>
      </c>
      <c r="Q43" s="2" t="s">
        <v>48</v>
      </c>
      <c r="R43" s="2" t="s">
        <v>51</v>
      </c>
      <c r="S43" s="2" t="s">
        <v>49</v>
      </c>
      <c r="T43" s="2" t="s">
        <v>50</v>
      </c>
      <c r="U43" s="2" t="s">
        <v>52</v>
      </c>
      <c r="V43" s="2" t="s">
        <v>48</v>
      </c>
      <c r="Y43">
        <f>SUMIF(C85:U85,"=pb",C88:U88)</f>
        <v>0</v>
      </c>
      <c r="Z43">
        <f>SUMIF(C85:U85,"=sc",C88:U88)</f>
        <v>0</v>
      </c>
    </row>
    <row r="44" spans="1:26">
      <c r="A44" s="130" t="s">
        <v>4</v>
      </c>
      <c r="B44" s="130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spans="1:26" hidden="1">
      <c r="A45" s="2" t="s">
        <v>53</v>
      </c>
      <c r="B45" s="2"/>
      <c r="C45" s="2">
        <f>IF(C44="",0,IF(C44=C43,1,-0.25))</f>
        <v>0</v>
      </c>
      <c r="D45" s="2">
        <f t="shared" ref="D45:V45" si="1">IF(D44="",0,IF(D44=D43,1,-0.25))</f>
        <v>0</v>
      </c>
      <c r="E45" s="2">
        <f t="shared" si="1"/>
        <v>0</v>
      </c>
      <c r="F45" s="2">
        <f t="shared" si="1"/>
        <v>0</v>
      </c>
      <c r="G45" s="2">
        <f t="shared" si="1"/>
        <v>0</v>
      </c>
      <c r="H45" s="2">
        <f t="shared" si="1"/>
        <v>0</v>
      </c>
      <c r="I45" s="2">
        <f t="shared" si="1"/>
        <v>0</v>
      </c>
      <c r="J45" s="2">
        <f t="shared" si="1"/>
        <v>0</v>
      </c>
      <c r="K45" s="2">
        <f t="shared" si="1"/>
        <v>0</v>
      </c>
      <c r="L45" s="2">
        <f t="shared" si="1"/>
        <v>0</v>
      </c>
      <c r="M45" s="2">
        <f t="shared" si="1"/>
        <v>0</v>
      </c>
      <c r="N45" s="2">
        <f t="shared" si="1"/>
        <v>0</v>
      </c>
      <c r="O45" s="2">
        <f t="shared" si="1"/>
        <v>0</v>
      </c>
      <c r="P45" s="2">
        <f t="shared" si="1"/>
        <v>0</v>
      </c>
      <c r="Q45" s="2">
        <f t="shared" si="1"/>
        <v>0</v>
      </c>
      <c r="R45" s="2">
        <f t="shared" si="1"/>
        <v>0</v>
      </c>
      <c r="S45" s="2">
        <f t="shared" si="1"/>
        <v>0</v>
      </c>
      <c r="T45" s="2">
        <f t="shared" si="1"/>
        <v>0</v>
      </c>
      <c r="U45" s="2">
        <f t="shared" si="1"/>
        <v>0</v>
      </c>
      <c r="V45" s="2">
        <f t="shared" si="1"/>
        <v>0</v>
      </c>
      <c r="X45" s="25" t="s">
        <v>35</v>
      </c>
      <c r="Y45">
        <f>SUM(Y39:Y43)</f>
        <v>0</v>
      </c>
      <c r="Z45" s="119">
        <f>SUM(Z39:Z43)</f>
        <v>0</v>
      </c>
    </row>
    <row r="46" spans="1:26">
      <c r="A46" s="2"/>
      <c r="B46" s="2"/>
      <c r="C46" s="23">
        <v>21</v>
      </c>
      <c r="D46" s="23">
        <v>22</v>
      </c>
      <c r="E46" s="23">
        <v>23</v>
      </c>
      <c r="F46" s="23">
        <v>24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X46" t="s">
        <v>142</v>
      </c>
      <c r="Y46">
        <f>Y45*1.396</f>
        <v>0</v>
      </c>
      <c r="Z46">
        <f>Z45*(67/19)</f>
        <v>0</v>
      </c>
    </row>
    <row r="47" spans="1:26">
      <c r="A47" s="2"/>
      <c r="B47" s="2"/>
      <c r="C47" s="19" t="s">
        <v>58</v>
      </c>
      <c r="D47" s="19" t="s">
        <v>58</v>
      </c>
      <c r="E47" s="19" t="s">
        <v>58</v>
      </c>
      <c r="F47" s="19" t="s">
        <v>58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X47" t="s">
        <v>36</v>
      </c>
      <c r="Y47">
        <f>ROUND(Y46,0)</f>
        <v>0</v>
      </c>
      <c r="Z47">
        <f>ROUND(Z46,0)</f>
        <v>0</v>
      </c>
    </row>
    <row r="48" spans="1:26">
      <c r="A48" s="2"/>
      <c r="B48" s="2"/>
      <c r="C48" s="2" t="s">
        <v>49</v>
      </c>
      <c r="D48" s="2" t="s">
        <v>49</v>
      </c>
      <c r="E48" s="2" t="s">
        <v>49</v>
      </c>
      <c r="F48" s="2" t="s">
        <v>51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X48" t="s">
        <v>143</v>
      </c>
      <c r="Y48">
        <f>VLOOKUP(Y47,Tables!A3:D75,2,FALSE)</f>
        <v>250</v>
      </c>
      <c r="Z48">
        <f>VLOOKUP(Z47,Tables!A3:D75,2,TRUE)</f>
        <v>250</v>
      </c>
    </row>
    <row r="49" spans="1:25">
      <c r="A49" s="2"/>
      <c r="B49" s="2"/>
      <c r="C49" s="5"/>
      <c r="D49" s="5"/>
      <c r="E49" s="5"/>
      <c r="F49" s="5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5" hidden="1">
      <c r="A50" s="2" t="s">
        <v>53</v>
      </c>
      <c r="B50" s="2"/>
      <c r="C50" s="2">
        <f>IF(C49="",0,IF(C49=C48,1,-0.25))</f>
        <v>0</v>
      </c>
      <c r="D50" s="2">
        <f>IF(D49="",0,IF(D49=D48,1,-0.25))</f>
        <v>0</v>
      </c>
      <c r="E50" s="2">
        <f>IF(E49="",0,IF(E49=E48,1,-0.25))</f>
        <v>0</v>
      </c>
      <c r="F50" s="2">
        <f>IF(F49="",0,IF(F49=F48,1,-0.25))</f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5">
      <c r="A51" s="7" t="s">
        <v>6</v>
      </c>
      <c r="B51" s="3"/>
      <c r="C51" s="7" t="s">
        <v>79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5">
      <c r="A53" s="3" t="s">
        <v>1</v>
      </c>
      <c r="B53" s="3"/>
      <c r="C53" s="22">
        <v>1</v>
      </c>
      <c r="D53" s="22">
        <v>2</v>
      </c>
      <c r="E53" s="22">
        <v>3</v>
      </c>
      <c r="F53" s="22">
        <v>4</v>
      </c>
      <c r="G53" s="22">
        <v>5</v>
      </c>
      <c r="H53" s="22">
        <v>6</v>
      </c>
      <c r="I53" s="22">
        <v>7</v>
      </c>
      <c r="J53" s="22">
        <v>8</v>
      </c>
      <c r="K53" s="22">
        <v>9</v>
      </c>
      <c r="L53" s="22">
        <v>10</v>
      </c>
      <c r="M53" s="22">
        <v>11</v>
      </c>
      <c r="N53" s="22">
        <v>12</v>
      </c>
      <c r="O53" s="22">
        <v>13</v>
      </c>
      <c r="P53" s="22">
        <v>14</v>
      </c>
      <c r="Q53" s="22">
        <v>15</v>
      </c>
      <c r="R53" s="22">
        <v>16</v>
      </c>
      <c r="S53" s="22">
        <v>17</v>
      </c>
      <c r="T53" s="22">
        <v>18</v>
      </c>
      <c r="U53" s="22">
        <v>19</v>
      </c>
      <c r="V53" s="22">
        <v>20</v>
      </c>
    </row>
    <row r="54" spans="1:25">
      <c r="A54" s="3" t="s">
        <v>2</v>
      </c>
      <c r="B54" s="3"/>
      <c r="C54" s="20" t="s">
        <v>59</v>
      </c>
      <c r="D54" s="20" t="s">
        <v>59</v>
      </c>
      <c r="E54" s="20" t="s">
        <v>59</v>
      </c>
      <c r="F54" s="20" t="s">
        <v>59</v>
      </c>
      <c r="G54" s="20" t="s">
        <v>59</v>
      </c>
      <c r="H54" s="20" t="s">
        <v>59</v>
      </c>
      <c r="I54" s="20" t="s">
        <v>59</v>
      </c>
      <c r="J54" s="20" t="s">
        <v>59</v>
      </c>
      <c r="K54" s="20" t="s">
        <v>59</v>
      </c>
      <c r="L54" s="20" t="s">
        <v>59</v>
      </c>
      <c r="M54" s="20" t="s">
        <v>59</v>
      </c>
      <c r="N54" s="20" t="s">
        <v>60</v>
      </c>
      <c r="O54" s="20" t="s">
        <v>60</v>
      </c>
      <c r="P54" s="20" t="s">
        <v>60</v>
      </c>
      <c r="Q54" s="20" t="s">
        <v>60</v>
      </c>
      <c r="R54" s="20" t="s">
        <v>60</v>
      </c>
      <c r="S54" s="20" t="s">
        <v>60</v>
      </c>
      <c r="T54" s="20" t="s">
        <v>60</v>
      </c>
      <c r="U54" s="20" t="s">
        <v>60</v>
      </c>
      <c r="V54" s="20" t="s">
        <v>60</v>
      </c>
      <c r="Y54" s="25"/>
    </row>
    <row r="55" spans="1:25">
      <c r="A55" s="3" t="s">
        <v>3</v>
      </c>
      <c r="B55" s="3"/>
      <c r="C55" s="3" t="s">
        <v>50</v>
      </c>
      <c r="D55" s="3" t="s">
        <v>52</v>
      </c>
      <c r="E55" s="3" t="s">
        <v>52</v>
      </c>
      <c r="F55" s="3" t="s">
        <v>50</v>
      </c>
      <c r="G55" s="3" t="s">
        <v>48</v>
      </c>
      <c r="H55" s="3" t="s">
        <v>48</v>
      </c>
      <c r="I55" s="3" t="s">
        <v>51</v>
      </c>
      <c r="J55" s="3" t="s">
        <v>49</v>
      </c>
      <c r="K55" s="3" t="s">
        <v>52</v>
      </c>
      <c r="L55" s="3" t="s">
        <v>49</v>
      </c>
      <c r="M55" s="3" t="s">
        <v>50</v>
      </c>
      <c r="N55" s="3" t="s">
        <v>51</v>
      </c>
      <c r="O55" s="3" t="s">
        <v>49</v>
      </c>
      <c r="P55" s="3" t="s">
        <v>48</v>
      </c>
      <c r="Q55" s="3" t="s">
        <v>51</v>
      </c>
      <c r="R55" s="3" t="s">
        <v>48</v>
      </c>
      <c r="S55" s="3" t="s">
        <v>48</v>
      </c>
      <c r="T55" s="3" t="s">
        <v>48</v>
      </c>
      <c r="U55" s="3" t="s">
        <v>52</v>
      </c>
      <c r="V55" s="3" t="s">
        <v>49</v>
      </c>
      <c r="Y55" s="25" t="s">
        <v>50</v>
      </c>
    </row>
    <row r="56" spans="1:25">
      <c r="A56" s="131" t="s">
        <v>4</v>
      </c>
      <c r="B56" s="131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Y56" s="25" t="s">
        <v>51</v>
      </c>
    </row>
    <row r="57" spans="1:25" hidden="1">
      <c r="A57" s="3" t="s">
        <v>53</v>
      </c>
      <c r="B57" s="3"/>
      <c r="C57" s="3">
        <f>IF(C56="",0,IF(C56=C55,1,-0.25))</f>
        <v>0</v>
      </c>
      <c r="D57" s="3">
        <f t="shared" ref="D57:V57" si="2">IF(D56="",0,IF(D56=D55,1,-0.25))</f>
        <v>0</v>
      </c>
      <c r="E57" s="3">
        <f t="shared" si="2"/>
        <v>0</v>
      </c>
      <c r="F57" s="3">
        <f t="shared" si="2"/>
        <v>0</v>
      </c>
      <c r="G57" s="3">
        <f t="shared" si="2"/>
        <v>0</v>
      </c>
      <c r="H57" s="3">
        <f t="shared" si="2"/>
        <v>0</v>
      </c>
      <c r="I57" s="3">
        <f t="shared" si="2"/>
        <v>0</v>
      </c>
      <c r="J57" s="3">
        <f t="shared" si="2"/>
        <v>0</v>
      </c>
      <c r="K57" s="3">
        <f t="shared" si="2"/>
        <v>0</v>
      </c>
      <c r="L57" s="3">
        <f t="shared" si="2"/>
        <v>0</v>
      </c>
      <c r="M57" s="3">
        <f t="shared" si="2"/>
        <v>0</v>
      </c>
      <c r="N57" s="3">
        <f t="shared" si="2"/>
        <v>0</v>
      </c>
      <c r="O57" s="3">
        <f t="shared" si="2"/>
        <v>0</v>
      </c>
      <c r="P57" s="3">
        <f t="shared" si="2"/>
        <v>0</v>
      </c>
      <c r="Q57" s="3">
        <f t="shared" si="2"/>
        <v>0</v>
      </c>
      <c r="R57" s="3">
        <f t="shared" si="2"/>
        <v>0</v>
      </c>
      <c r="S57" s="3">
        <f t="shared" si="2"/>
        <v>0</v>
      </c>
      <c r="T57" s="3">
        <f t="shared" si="2"/>
        <v>0</v>
      </c>
      <c r="U57" s="3">
        <f t="shared" si="2"/>
        <v>0</v>
      </c>
      <c r="V57" s="3">
        <f t="shared" si="2"/>
        <v>0</v>
      </c>
      <c r="Y57" s="25" t="s">
        <v>48</v>
      </c>
    </row>
    <row r="58" spans="1:25">
      <c r="A58" s="3"/>
      <c r="B58" s="3"/>
      <c r="C58" s="22">
        <v>21</v>
      </c>
      <c r="D58" s="22">
        <v>22</v>
      </c>
      <c r="E58" s="22">
        <v>23</v>
      </c>
      <c r="F58" s="22">
        <v>24</v>
      </c>
      <c r="G58" s="22">
        <v>25</v>
      </c>
      <c r="H58" s="22">
        <v>26</v>
      </c>
      <c r="I58" s="22">
        <v>27</v>
      </c>
      <c r="J58" s="22">
        <v>28</v>
      </c>
      <c r="K58" s="22">
        <v>29</v>
      </c>
      <c r="L58" s="22">
        <v>30</v>
      </c>
      <c r="M58" s="22">
        <v>31</v>
      </c>
      <c r="N58" s="22">
        <v>32</v>
      </c>
      <c r="O58" s="22">
        <v>33</v>
      </c>
      <c r="P58" s="22">
        <v>34</v>
      </c>
      <c r="Q58" s="22">
        <v>35</v>
      </c>
      <c r="R58" s="3"/>
      <c r="S58" s="3"/>
      <c r="T58" s="3"/>
      <c r="U58" s="3"/>
      <c r="V58" s="3"/>
      <c r="Y58" s="25" t="s">
        <v>52</v>
      </c>
    </row>
    <row r="59" spans="1:25">
      <c r="A59" s="3"/>
      <c r="B59" s="3"/>
      <c r="C59" s="20" t="s">
        <v>60</v>
      </c>
      <c r="D59" s="20" t="s">
        <v>60</v>
      </c>
      <c r="E59" s="20" t="s">
        <v>60</v>
      </c>
      <c r="F59" s="20" t="s">
        <v>60</v>
      </c>
      <c r="G59" s="20" t="s">
        <v>60</v>
      </c>
      <c r="H59" s="20" t="s">
        <v>60</v>
      </c>
      <c r="I59" s="20" t="s">
        <v>60</v>
      </c>
      <c r="J59" s="20" t="s">
        <v>60</v>
      </c>
      <c r="K59" s="20" t="s">
        <v>60</v>
      </c>
      <c r="L59" s="20" t="s">
        <v>61</v>
      </c>
      <c r="M59" s="20" t="s">
        <v>61</v>
      </c>
      <c r="N59" s="20" t="s">
        <v>61</v>
      </c>
      <c r="O59" s="20" t="s">
        <v>61</v>
      </c>
      <c r="P59" s="20" t="s">
        <v>61</v>
      </c>
      <c r="Q59" s="20" t="s">
        <v>61</v>
      </c>
      <c r="R59" s="3"/>
      <c r="S59" s="3"/>
      <c r="T59" s="3"/>
      <c r="U59" s="3"/>
      <c r="V59" s="3"/>
      <c r="Y59" s="25" t="s">
        <v>49</v>
      </c>
    </row>
    <row r="60" spans="1:25" ht="15" customHeight="1">
      <c r="A60" s="3"/>
      <c r="B60" s="3"/>
      <c r="C60" s="3" t="s">
        <v>49</v>
      </c>
      <c r="D60" s="3" t="s">
        <v>50</v>
      </c>
      <c r="E60" s="3" t="s">
        <v>49</v>
      </c>
      <c r="F60" s="3" t="s">
        <v>52</v>
      </c>
      <c r="G60" s="3" t="s">
        <v>48</v>
      </c>
      <c r="H60" s="3" t="s">
        <v>52</v>
      </c>
      <c r="I60" s="3" t="s">
        <v>52</v>
      </c>
      <c r="J60" s="3" t="s">
        <v>52</v>
      </c>
      <c r="K60" s="3" t="s">
        <v>52</v>
      </c>
      <c r="L60" s="3" t="s">
        <v>50</v>
      </c>
      <c r="M60" s="3" t="s">
        <v>52</v>
      </c>
      <c r="N60" s="3" t="s">
        <v>49</v>
      </c>
      <c r="O60" s="3" t="s">
        <v>51</v>
      </c>
      <c r="P60" s="3" t="s">
        <v>50</v>
      </c>
      <c r="Q60" s="3" t="s">
        <v>50</v>
      </c>
      <c r="R60" s="3"/>
      <c r="S60" s="3"/>
      <c r="T60" s="3"/>
      <c r="U60" s="3"/>
      <c r="V60" s="3"/>
    </row>
    <row r="61" spans="1: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3"/>
      <c r="S61" s="3"/>
      <c r="T61" s="3"/>
      <c r="U61" s="3"/>
      <c r="V61" s="3"/>
    </row>
    <row r="62" spans="1:25" hidden="1">
      <c r="A62" s="3" t="s">
        <v>53</v>
      </c>
      <c r="B62" s="3"/>
      <c r="C62" s="3">
        <f>IF(C61="",0,IF(C61=C60,1,-0.25))</f>
        <v>0</v>
      </c>
      <c r="D62" s="3">
        <f t="shared" ref="D62:Q62" si="3">IF(D61="",0,IF(D61=D60,1,-0.25))</f>
        <v>0</v>
      </c>
      <c r="E62" s="3">
        <f t="shared" si="3"/>
        <v>0</v>
      </c>
      <c r="F62" s="3">
        <f t="shared" si="3"/>
        <v>0</v>
      </c>
      <c r="G62" s="3">
        <f t="shared" si="3"/>
        <v>0</v>
      </c>
      <c r="H62" s="3">
        <f t="shared" si="3"/>
        <v>0</v>
      </c>
      <c r="I62" s="3">
        <f t="shared" si="3"/>
        <v>0</v>
      </c>
      <c r="J62" s="3">
        <f t="shared" si="3"/>
        <v>0</v>
      </c>
      <c r="K62" s="3">
        <f t="shared" si="3"/>
        <v>0</v>
      </c>
      <c r="L62" s="3">
        <f t="shared" si="3"/>
        <v>0</v>
      </c>
      <c r="M62" s="3">
        <f t="shared" si="3"/>
        <v>0</v>
      </c>
      <c r="N62" s="3">
        <f t="shared" si="3"/>
        <v>0</v>
      </c>
      <c r="O62" s="3">
        <f t="shared" si="3"/>
        <v>0</v>
      </c>
      <c r="P62" s="3">
        <f t="shared" si="3"/>
        <v>0</v>
      </c>
      <c r="Q62" s="3">
        <f t="shared" si="3"/>
        <v>0</v>
      </c>
      <c r="R62" s="4"/>
      <c r="S62" s="4"/>
      <c r="T62" s="4"/>
      <c r="U62" s="4"/>
      <c r="V62" s="4"/>
    </row>
    <row r="63" spans="1:25">
      <c r="A63" s="9" t="s">
        <v>7</v>
      </c>
      <c r="B63" s="1"/>
      <c r="C63" s="9" t="s">
        <v>77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>
      <c r="A65" s="1" t="s">
        <v>1</v>
      </c>
      <c r="B65" s="1"/>
      <c r="C65" s="24">
        <v>1</v>
      </c>
      <c r="D65" s="24">
        <v>2</v>
      </c>
      <c r="E65" s="24">
        <v>3</v>
      </c>
      <c r="F65" s="24">
        <v>4</v>
      </c>
      <c r="G65" s="24">
        <v>5</v>
      </c>
      <c r="H65" s="24">
        <v>6</v>
      </c>
      <c r="I65" s="24">
        <v>7</v>
      </c>
      <c r="J65" s="24">
        <v>8</v>
      </c>
      <c r="K65" s="24">
        <v>9</v>
      </c>
      <c r="L65" s="24">
        <v>10</v>
      </c>
      <c r="M65" s="24">
        <v>11</v>
      </c>
      <c r="N65" s="24">
        <v>12</v>
      </c>
      <c r="O65" s="24">
        <v>13</v>
      </c>
      <c r="P65" s="24">
        <v>14</v>
      </c>
      <c r="Q65" s="24">
        <v>15</v>
      </c>
      <c r="R65" s="24">
        <v>16</v>
      </c>
      <c r="S65" s="24">
        <v>17</v>
      </c>
      <c r="T65" s="24">
        <v>18</v>
      </c>
      <c r="U65" s="1"/>
      <c r="V65" s="1"/>
    </row>
    <row r="66" spans="1:22">
      <c r="A66" s="1" t="s">
        <v>2</v>
      </c>
      <c r="B66" s="1"/>
      <c r="C66" s="18" t="s">
        <v>54</v>
      </c>
      <c r="D66" s="18" t="s">
        <v>50</v>
      </c>
      <c r="E66" s="18" t="s">
        <v>52</v>
      </c>
      <c r="F66" s="18" t="s">
        <v>55</v>
      </c>
      <c r="G66" s="18" t="s">
        <v>56</v>
      </c>
      <c r="H66" s="18" t="s">
        <v>50</v>
      </c>
      <c r="I66" s="18" t="s">
        <v>56</v>
      </c>
      <c r="J66" s="18" t="s">
        <v>50</v>
      </c>
      <c r="K66" s="18" t="s">
        <v>54</v>
      </c>
      <c r="L66" s="18" t="s">
        <v>50</v>
      </c>
      <c r="M66" s="18" t="s">
        <v>52</v>
      </c>
      <c r="N66" s="18" t="s">
        <v>50</v>
      </c>
      <c r="O66" s="18" t="s">
        <v>50</v>
      </c>
      <c r="P66" s="18" t="s">
        <v>55</v>
      </c>
      <c r="Q66" s="18" t="s">
        <v>50</v>
      </c>
      <c r="R66" s="18" t="s">
        <v>50</v>
      </c>
      <c r="S66" s="18" t="s">
        <v>54</v>
      </c>
      <c r="T66" s="18" t="s">
        <v>56</v>
      </c>
      <c r="U66" s="1"/>
      <c r="V66" s="1"/>
    </row>
    <row r="67" spans="1:22" ht="27" customHeight="1">
      <c r="A67" s="1" t="s">
        <v>3</v>
      </c>
      <c r="B67" s="1"/>
      <c r="C67" s="1" t="s">
        <v>51</v>
      </c>
      <c r="D67" s="1" t="s">
        <v>49</v>
      </c>
      <c r="E67" s="1" t="s">
        <v>51</v>
      </c>
      <c r="F67" s="1" t="s">
        <v>50</v>
      </c>
      <c r="G67" s="1" t="s">
        <v>52</v>
      </c>
      <c r="H67" s="1" t="s">
        <v>50</v>
      </c>
      <c r="I67" s="1" t="s">
        <v>48</v>
      </c>
      <c r="J67" s="1" t="s">
        <v>51</v>
      </c>
      <c r="K67" s="1">
        <v>108</v>
      </c>
      <c r="L67" s="1">
        <v>0.5</v>
      </c>
      <c r="M67" s="1">
        <v>1300</v>
      </c>
      <c r="N67" s="1">
        <v>24</v>
      </c>
      <c r="O67" s="1">
        <v>300</v>
      </c>
      <c r="P67" s="1">
        <v>11</v>
      </c>
      <c r="Q67" s="1">
        <v>0.66600000000000004</v>
      </c>
      <c r="R67" s="1" t="s">
        <v>62</v>
      </c>
      <c r="S67" s="1">
        <v>2491</v>
      </c>
      <c r="T67" s="1">
        <v>23.3</v>
      </c>
      <c r="U67" s="1"/>
      <c r="V67" s="1"/>
    </row>
    <row r="68" spans="1:22" ht="18" customHeight="1">
      <c r="A68" s="1" t="s">
        <v>4</v>
      </c>
      <c r="B68" s="1"/>
      <c r="C68" s="5"/>
      <c r="D68" s="5"/>
      <c r="E68" s="5"/>
      <c r="F68" s="5"/>
      <c r="G68" s="5"/>
      <c r="H68" s="5"/>
      <c r="I68" s="5"/>
      <c r="J68" s="5"/>
      <c r="K68" s="5">
        <v>1</v>
      </c>
      <c r="L68" s="5"/>
      <c r="M68" s="5"/>
      <c r="N68" s="5"/>
      <c r="O68" s="5"/>
      <c r="P68" s="5"/>
      <c r="Q68" s="5"/>
      <c r="R68" s="5"/>
      <c r="S68" s="5"/>
      <c r="T68" s="5"/>
      <c r="U68" s="1"/>
      <c r="V68" s="1"/>
    </row>
    <row r="69" spans="1:22">
      <c r="A69" s="1" t="s">
        <v>53</v>
      </c>
      <c r="B69" s="1"/>
      <c r="C69" s="1">
        <f t="shared" ref="C69:J69" si="4">IF(C68="",0,IF(C68=C67,1,-0.25))</f>
        <v>0</v>
      </c>
      <c r="D69" s="1">
        <f t="shared" si="4"/>
        <v>0</v>
      </c>
      <c r="E69" s="1">
        <f t="shared" si="4"/>
        <v>0</v>
      </c>
      <c r="F69" s="1">
        <f t="shared" si="4"/>
        <v>0</v>
      </c>
      <c r="G69" s="1">
        <f t="shared" si="4"/>
        <v>0</v>
      </c>
      <c r="H69" s="1">
        <f t="shared" si="4"/>
        <v>0</v>
      </c>
      <c r="I69" s="1">
        <f t="shared" si="4"/>
        <v>0</v>
      </c>
      <c r="J69" s="1">
        <f t="shared" si="4"/>
        <v>0</v>
      </c>
      <c r="K69" s="1" t="str">
        <f t="shared" ref="K69:Q69" si="5">IF(K68=K67,1,IF(K68="",0,"inc"))</f>
        <v>inc</v>
      </c>
      <c r="L69" s="1">
        <f t="shared" si="5"/>
        <v>0</v>
      </c>
      <c r="M69" s="1">
        <f t="shared" si="5"/>
        <v>0</v>
      </c>
      <c r="N69" s="1">
        <f t="shared" si="5"/>
        <v>0</v>
      </c>
      <c r="O69" s="1">
        <f t="shared" si="5"/>
        <v>0</v>
      </c>
      <c r="P69" s="1">
        <f t="shared" si="5"/>
        <v>0</v>
      </c>
      <c r="Q69" s="1">
        <f t="shared" si="5"/>
        <v>0</v>
      </c>
      <c r="R69" s="1">
        <f>IF(R68&gt;3,IF(R68&lt;4,1,IF(R68="",0,"inc")),IF(R68="",0,"inc"))</f>
        <v>0</v>
      </c>
      <c r="S69" s="1">
        <f>IF(S68=S67,1,IF(S68="",0,"inc"))</f>
        <v>0</v>
      </c>
      <c r="T69" s="1">
        <f>IF(T68=T67,1,IF(T68="",0,"inc"))</f>
        <v>0</v>
      </c>
      <c r="U69" s="1"/>
      <c r="V69" s="1"/>
    </row>
    <row r="70" spans="1:22">
      <c r="A70" s="8" t="s">
        <v>8</v>
      </c>
      <c r="B70" s="2"/>
      <c r="C70" s="8" t="s">
        <v>78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>
      <c r="A72" s="2" t="s">
        <v>1</v>
      </c>
      <c r="B72" s="2"/>
      <c r="C72" s="23">
        <v>1</v>
      </c>
      <c r="D72" s="23">
        <v>2</v>
      </c>
      <c r="E72" s="23">
        <v>3</v>
      </c>
      <c r="F72" s="23">
        <v>4</v>
      </c>
      <c r="G72" s="23">
        <v>5</v>
      </c>
      <c r="H72" s="23">
        <v>6</v>
      </c>
      <c r="I72" s="23">
        <v>7</v>
      </c>
      <c r="J72" s="23">
        <v>8</v>
      </c>
      <c r="K72" s="23">
        <v>9</v>
      </c>
      <c r="L72" s="23">
        <v>10</v>
      </c>
      <c r="M72" s="23">
        <v>11</v>
      </c>
      <c r="N72" s="23">
        <v>12</v>
      </c>
      <c r="O72" s="23">
        <v>13</v>
      </c>
      <c r="P72" s="23">
        <v>14</v>
      </c>
      <c r="Q72" s="23">
        <v>15</v>
      </c>
      <c r="R72" s="23">
        <v>16</v>
      </c>
      <c r="S72" s="23">
        <v>17</v>
      </c>
      <c r="T72" s="23">
        <v>18</v>
      </c>
      <c r="U72" s="23">
        <v>19</v>
      </c>
      <c r="V72" s="23">
        <v>20</v>
      </c>
    </row>
    <row r="73" spans="1:22">
      <c r="A73" s="2" t="s">
        <v>2</v>
      </c>
      <c r="B73" s="2"/>
      <c r="C73" s="19" t="s">
        <v>57</v>
      </c>
      <c r="D73" s="19" t="s">
        <v>57</v>
      </c>
      <c r="E73" s="19" t="s">
        <v>57</v>
      </c>
      <c r="F73" s="19" t="s">
        <v>57</v>
      </c>
      <c r="G73" s="19" t="s">
        <v>57</v>
      </c>
      <c r="H73" s="19" t="s">
        <v>57</v>
      </c>
      <c r="I73" s="19" t="s">
        <v>57</v>
      </c>
      <c r="J73" s="19" t="s">
        <v>57</v>
      </c>
      <c r="K73" s="19" t="s">
        <v>58</v>
      </c>
      <c r="L73" s="19" t="s">
        <v>58</v>
      </c>
      <c r="M73" s="19" t="s">
        <v>58</v>
      </c>
      <c r="N73" s="19" t="s">
        <v>58</v>
      </c>
      <c r="O73" s="19" t="s">
        <v>58</v>
      </c>
      <c r="P73" s="19" t="s">
        <v>58</v>
      </c>
      <c r="Q73" s="19" t="s">
        <v>58</v>
      </c>
      <c r="R73" s="19" t="s">
        <v>58</v>
      </c>
      <c r="S73" s="19" t="s">
        <v>58</v>
      </c>
      <c r="T73" s="19" t="s">
        <v>58</v>
      </c>
      <c r="U73" s="19" t="s">
        <v>58</v>
      </c>
      <c r="V73" s="19" t="s">
        <v>58</v>
      </c>
    </row>
    <row r="74" spans="1:22">
      <c r="A74" s="2" t="s">
        <v>3</v>
      </c>
      <c r="B74" s="2"/>
      <c r="C74" s="2" t="s">
        <v>52</v>
      </c>
      <c r="D74" s="2" t="s">
        <v>48</v>
      </c>
      <c r="E74" s="2" t="s">
        <v>50</v>
      </c>
      <c r="F74" s="2" t="s">
        <v>51</v>
      </c>
      <c r="G74" s="2" t="s">
        <v>48</v>
      </c>
      <c r="H74" s="2" t="s">
        <v>48</v>
      </c>
      <c r="I74" s="2" t="s">
        <v>49</v>
      </c>
      <c r="J74" s="2" t="s">
        <v>49</v>
      </c>
      <c r="K74" s="2" t="s">
        <v>52</v>
      </c>
      <c r="L74" s="2" t="s">
        <v>51</v>
      </c>
      <c r="M74" s="2" t="s">
        <v>52</v>
      </c>
      <c r="N74" s="2" t="s">
        <v>51</v>
      </c>
      <c r="O74" s="2" t="s">
        <v>48</v>
      </c>
      <c r="P74" s="2" t="s">
        <v>52</v>
      </c>
      <c r="Q74" s="2" t="s">
        <v>49</v>
      </c>
      <c r="R74" s="2" t="s">
        <v>50</v>
      </c>
      <c r="S74" s="2" t="s">
        <v>52</v>
      </c>
      <c r="T74" s="2" t="s">
        <v>49</v>
      </c>
      <c r="U74" s="2" t="s">
        <v>52</v>
      </c>
      <c r="V74" s="2" t="s">
        <v>50</v>
      </c>
    </row>
    <row r="75" spans="1:22">
      <c r="A75" s="2" t="s">
        <v>4</v>
      </c>
      <c r="B75" s="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</row>
    <row r="76" spans="1:22" hidden="1">
      <c r="A76" s="2" t="s">
        <v>53</v>
      </c>
      <c r="B76" s="2"/>
      <c r="C76" s="2">
        <f>IF(C75="",0,IF(C75=C74,1,-0.25))</f>
        <v>0</v>
      </c>
      <c r="D76" s="2">
        <f t="shared" ref="D76:V76" si="6">IF(D75="",0,IF(D75=D74,1,-0.25))</f>
        <v>0</v>
      </c>
      <c r="E76" s="2">
        <f t="shared" si="6"/>
        <v>0</v>
      </c>
      <c r="F76" s="2">
        <f t="shared" si="6"/>
        <v>0</v>
      </c>
      <c r="G76" s="2">
        <f t="shared" si="6"/>
        <v>0</v>
      </c>
      <c r="H76" s="2">
        <f t="shared" si="6"/>
        <v>0</v>
      </c>
      <c r="I76" s="2">
        <f t="shared" si="6"/>
        <v>0</v>
      </c>
      <c r="J76" s="2">
        <f t="shared" si="6"/>
        <v>0</v>
      </c>
      <c r="K76" s="2">
        <f t="shared" si="6"/>
        <v>0</v>
      </c>
      <c r="L76" s="2">
        <f t="shared" si="6"/>
        <v>0</v>
      </c>
      <c r="M76" s="2">
        <f t="shared" si="6"/>
        <v>0</v>
      </c>
      <c r="N76" s="2">
        <f t="shared" si="6"/>
        <v>0</v>
      </c>
      <c r="O76" s="2">
        <f t="shared" si="6"/>
        <v>0</v>
      </c>
      <c r="P76" s="2">
        <f t="shared" si="6"/>
        <v>0</v>
      </c>
      <c r="Q76" s="2">
        <f t="shared" si="6"/>
        <v>0</v>
      </c>
      <c r="R76" s="2">
        <f t="shared" si="6"/>
        <v>0</v>
      </c>
      <c r="S76" s="2">
        <f t="shared" si="6"/>
        <v>0</v>
      </c>
      <c r="T76" s="2">
        <f t="shared" si="6"/>
        <v>0</v>
      </c>
      <c r="U76" s="2">
        <f t="shared" si="6"/>
        <v>0</v>
      </c>
      <c r="V76" s="2">
        <f t="shared" si="6"/>
        <v>0</v>
      </c>
    </row>
    <row r="77" spans="1:22">
      <c r="A77" s="2"/>
      <c r="B77" s="2"/>
      <c r="C77" s="23">
        <v>21</v>
      </c>
      <c r="D77" s="23">
        <v>22</v>
      </c>
      <c r="E77" s="23">
        <v>23</v>
      </c>
      <c r="F77" s="23">
        <v>24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>
      <c r="A78" s="2"/>
      <c r="B78" s="2"/>
      <c r="C78" s="21" t="s">
        <v>58</v>
      </c>
      <c r="D78" s="21" t="s">
        <v>58</v>
      </c>
      <c r="E78" s="21" t="s">
        <v>58</v>
      </c>
      <c r="F78" s="21" t="s">
        <v>58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>
      <c r="A79" s="2"/>
      <c r="B79" s="2"/>
      <c r="C79" s="6" t="s">
        <v>51</v>
      </c>
      <c r="D79" s="6" t="s">
        <v>50</v>
      </c>
      <c r="E79" s="6" t="s">
        <v>48</v>
      </c>
      <c r="F79" s="6" t="s">
        <v>51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>
      <c r="A80" s="2"/>
      <c r="B80" s="2"/>
      <c r="C80" s="5"/>
      <c r="D80" s="5"/>
      <c r="E80" s="5"/>
      <c r="F80" s="5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idden="1">
      <c r="A81" s="2" t="s">
        <v>53</v>
      </c>
      <c r="B81" s="2"/>
      <c r="C81" s="2">
        <f>IF(C80="",0,IF(C80=C79,1,-0.25))</f>
        <v>0</v>
      </c>
      <c r="D81" s="2">
        <f>IF(D80="",0,IF(D80=D79,1,-0.25))</f>
        <v>0</v>
      </c>
      <c r="E81" s="2">
        <f>IF(E80="",0,IF(E80=E79,1,-0.25))</f>
        <v>0</v>
      </c>
      <c r="F81" s="2">
        <f>IF(F80="",0,IF(F80=F79,1,-0.25))</f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>
      <c r="A82" s="9" t="s">
        <v>9</v>
      </c>
      <c r="B82" s="1"/>
      <c r="C82" s="9" t="s">
        <v>77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>
      <c r="A84" s="1" t="s">
        <v>1</v>
      </c>
      <c r="B84" s="1"/>
      <c r="C84" s="24">
        <v>1</v>
      </c>
      <c r="D84" s="24">
        <v>2</v>
      </c>
      <c r="E84" s="24">
        <v>3</v>
      </c>
      <c r="F84" s="24">
        <v>4</v>
      </c>
      <c r="G84" s="24">
        <v>5</v>
      </c>
      <c r="H84" s="24">
        <v>6</v>
      </c>
      <c r="I84" s="24">
        <v>7</v>
      </c>
      <c r="J84" s="24">
        <v>8</v>
      </c>
      <c r="K84" s="24">
        <v>9</v>
      </c>
      <c r="L84" s="24">
        <v>10</v>
      </c>
      <c r="M84" s="24">
        <v>11</v>
      </c>
      <c r="N84" s="24">
        <v>12</v>
      </c>
      <c r="O84" s="24">
        <v>13</v>
      </c>
      <c r="P84" s="24">
        <v>14</v>
      </c>
      <c r="Q84" s="24">
        <v>15</v>
      </c>
      <c r="R84" s="24">
        <v>16</v>
      </c>
      <c r="S84" s="1"/>
      <c r="T84" s="1"/>
      <c r="U84" s="1"/>
      <c r="V84" s="1"/>
    </row>
    <row r="85" spans="1:22">
      <c r="A85" s="1" t="s">
        <v>2</v>
      </c>
      <c r="B85" s="1"/>
      <c r="C85" s="18" t="s">
        <v>50</v>
      </c>
      <c r="D85" s="18" t="s">
        <v>50</v>
      </c>
      <c r="E85" s="18" t="s">
        <v>50</v>
      </c>
      <c r="F85" s="18" t="s">
        <v>56</v>
      </c>
      <c r="G85" s="18" t="s">
        <v>54</v>
      </c>
      <c r="H85" s="18" t="s">
        <v>52</v>
      </c>
      <c r="I85" s="18" t="s">
        <v>56</v>
      </c>
      <c r="J85" s="18" t="s">
        <v>52</v>
      </c>
      <c r="K85" s="18" t="s">
        <v>56</v>
      </c>
      <c r="L85" s="18" t="s">
        <v>54</v>
      </c>
      <c r="M85" s="18" t="s">
        <v>50</v>
      </c>
      <c r="N85" s="18" t="s">
        <v>56</v>
      </c>
      <c r="O85" s="18" t="s">
        <v>50</v>
      </c>
      <c r="P85" s="18" t="s">
        <v>56</v>
      </c>
      <c r="Q85" s="18" t="s">
        <v>50</v>
      </c>
      <c r="R85" s="18" t="s">
        <v>50</v>
      </c>
      <c r="S85" s="1"/>
      <c r="T85" s="1"/>
      <c r="U85" s="1"/>
      <c r="V85" s="1"/>
    </row>
    <row r="86" spans="1:22">
      <c r="A86" s="1" t="s">
        <v>3</v>
      </c>
      <c r="B86" s="1"/>
      <c r="C86" s="1" t="s">
        <v>48</v>
      </c>
      <c r="D86" s="1" t="s">
        <v>50</v>
      </c>
      <c r="E86" s="1" t="s">
        <v>51</v>
      </c>
      <c r="F86" s="1" t="s">
        <v>51</v>
      </c>
      <c r="G86" s="1" t="s">
        <v>48</v>
      </c>
      <c r="H86" s="1" t="s">
        <v>52</v>
      </c>
      <c r="I86" s="1" t="s">
        <v>49</v>
      </c>
      <c r="J86" s="1" t="s">
        <v>51</v>
      </c>
      <c r="K86" s="1" t="s">
        <v>51</v>
      </c>
      <c r="L86" s="1" t="s">
        <v>48</v>
      </c>
      <c r="M86" s="1" t="s">
        <v>52</v>
      </c>
      <c r="N86" s="1" t="s">
        <v>51</v>
      </c>
      <c r="O86" s="1" t="s">
        <v>51</v>
      </c>
      <c r="P86" s="1" t="s">
        <v>52</v>
      </c>
      <c r="Q86" s="1" t="s">
        <v>49</v>
      </c>
      <c r="R86" s="1" t="s">
        <v>52</v>
      </c>
      <c r="S86" s="1"/>
      <c r="T86" s="1"/>
      <c r="U86" s="1"/>
      <c r="V86" s="1"/>
    </row>
    <row r="87" spans="1:22">
      <c r="A87" s="1" t="s">
        <v>4</v>
      </c>
      <c r="B87" s="1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1"/>
      <c r="T87" s="1"/>
      <c r="U87" s="1"/>
      <c r="V87" s="1"/>
    </row>
    <row r="88" spans="1:22" hidden="1">
      <c r="A88" s="1" t="s">
        <v>53</v>
      </c>
      <c r="B88" s="1"/>
      <c r="C88" s="1">
        <f>IF(C87="",0,IF(C87=C86,1,-0.25))</f>
        <v>0</v>
      </c>
      <c r="D88" s="1">
        <f t="shared" ref="D88:R88" si="7">IF(D87="",0,IF(D87=D86,1,-0.25))</f>
        <v>0</v>
      </c>
      <c r="E88" s="1">
        <f t="shared" si="7"/>
        <v>0</v>
      </c>
      <c r="F88" s="1">
        <f t="shared" si="7"/>
        <v>0</v>
      </c>
      <c r="G88" s="1">
        <f t="shared" si="7"/>
        <v>0</v>
      </c>
      <c r="H88" s="1">
        <f t="shared" si="7"/>
        <v>0</v>
      </c>
      <c r="I88" s="1">
        <f t="shared" si="7"/>
        <v>0</v>
      </c>
      <c r="J88" s="1">
        <f t="shared" si="7"/>
        <v>0</v>
      </c>
      <c r="K88" s="1">
        <f t="shared" si="7"/>
        <v>0</v>
      </c>
      <c r="L88" s="1">
        <f t="shared" si="7"/>
        <v>0</v>
      </c>
      <c r="M88" s="1">
        <f t="shared" si="7"/>
        <v>0</v>
      </c>
      <c r="N88" s="1">
        <f t="shared" si="7"/>
        <v>0</v>
      </c>
      <c r="O88" s="1">
        <f t="shared" si="7"/>
        <v>0</v>
      </c>
      <c r="P88" s="1">
        <f t="shared" si="7"/>
        <v>0</v>
      </c>
      <c r="Q88" s="1">
        <f t="shared" si="7"/>
        <v>0</v>
      </c>
      <c r="R88" s="1">
        <f t="shared" si="7"/>
        <v>0</v>
      </c>
      <c r="S88" s="1"/>
      <c r="T88" s="1"/>
      <c r="U88" s="1"/>
      <c r="V88" s="1"/>
    </row>
    <row r="89" spans="1:22">
      <c r="A89" s="8" t="s">
        <v>10</v>
      </c>
      <c r="B89" s="2"/>
      <c r="C89" s="8" t="s">
        <v>78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>
      <c r="A91" s="2" t="s">
        <v>1</v>
      </c>
      <c r="B91" s="2"/>
      <c r="C91" s="23">
        <v>1</v>
      </c>
      <c r="D91" s="23">
        <v>2</v>
      </c>
      <c r="E91" s="23">
        <v>3</v>
      </c>
      <c r="F91" s="23">
        <v>4</v>
      </c>
      <c r="G91" s="23">
        <v>5</v>
      </c>
      <c r="H91" s="23">
        <v>6</v>
      </c>
      <c r="I91" s="23">
        <v>7</v>
      </c>
      <c r="J91" s="23">
        <v>8</v>
      </c>
      <c r="K91" s="23">
        <v>9</v>
      </c>
      <c r="L91" s="23">
        <v>10</v>
      </c>
      <c r="M91" s="23">
        <v>11</v>
      </c>
      <c r="N91" s="23">
        <v>12</v>
      </c>
      <c r="O91" s="23">
        <v>13</v>
      </c>
      <c r="P91" s="23">
        <v>14</v>
      </c>
      <c r="Q91" s="23">
        <v>15</v>
      </c>
      <c r="R91" s="23">
        <v>16</v>
      </c>
      <c r="S91" s="23">
        <v>17</v>
      </c>
      <c r="T91" s="23">
        <v>18</v>
      </c>
      <c r="U91" s="23">
        <v>19</v>
      </c>
      <c r="V91" s="2"/>
    </row>
    <row r="92" spans="1:22">
      <c r="A92" s="2" t="s">
        <v>2</v>
      </c>
      <c r="B92" s="2"/>
      <c r="C92" s="19" t="s">
        <v>57</v>
      </c>
      <c r="D92" s="19" t="s">
        <v>57</v>
      </c>
      <c r="E92" s="19" t="s">
        <v>57</v>
      </c>
      <c r="F92" s="19" t="s">
        <v>57</v>
      </c>
      <c r="G92" s="19" t="s">
        <v>57</v>
      </c>
      <c r="H92" s="19" t="s">
        <v>57</v>
      </c>
      <c r="I92" s="19" t="s">
        <v>58</v>
      </c>
      <c r="J92" s="19" t="s">
        <v>58</v>
      </c>
      <c r="K92" s="19" t="s">
        <v>58</v>
      </c>
      <c r="L92" s="19" t="s">
        <v>58</v>
      </c>
      <c r="M92" s="19" t="s">
        <v>58</v>
      </c>
      <c r="N92" s="19" t="s">
        <v>58</v>
      </c>
      <c r="O92" s="19" t="s">
        <v>58</v>
      </c>
      <c r="P92" s="19" t="s">
        <v>58</v>
      </c>
      <c r="Q92" s="19" t="s">
        <v>58</v>
      </c>
      <c r="R92" s="19" t="s">
        <v>58</v>
      </c>
      <c r="S92" s="19" t="s">
        <v>58</v>
      </c>
      <c r="T92" s="19" t="s">
        <v>58</v>
      </c>
      <c r="U92" s="19" t="s">
        <v>58</v>
      </c>
      <c r="V92" s="2"/>
    </row>
    <row r="93" spans="1:22">
      <c r="A93" s="2" t="s">
        <v>3</v>
      </c>
      <c r="B93" s="2"/>
      <c r="C93" s="2" t="s">
        <v>50</v>
      </c>
      <c r="D93" s="2" t="s">
        <v>51</v>
      </c>
      <c r="E93" s="2" t="s">
        <v>51</v>
      </c>
      <c r="F93" s="2" t="s">
        <v>52</v>
      </c>
      <c r="G93" s="2" t="s">
        <v>52</v>
      </c>
      <c r="H93" s="2" t="s">
        <v>52</v>
      </c>
      <c r="I93" s="2" t="s">
        <v>51</v>
      </c>
      <c r="J93" s="2" t="s">
        <v>50</v>
      </c>
      <c r="K93" s="2" t="s">
        <v>49</v>
      </c>
      <c r="L93" s="2" t="s">
        <v>51</v>
      </c>
      <c r="M93" s="2" t="s">
        <v>51</v>
      </c>
      <c r="N93" s="2" t="s">
        <v>52</v>
      </c>
      <c r="O93" s="2" t="s">
        <v>48</v>
      </c>
      <c r="P93" s="2" t="s">
        <v>48</v>
      </c>
      <c r="Q93" s="2" t="s">
        <v>48</v>
      </c>
      <c r="R93" s="2" t="s">
        <v>52</v>
      </c>
      <c r="S93" s="2" t="s">
        <v>49</v>
      </c>
      <c r="T93" s="2" t="s">
        <v>48</v>
      </c>
      <c r="U93" s="2" t="s">
        <v>49</v>
      </c>
      <c r="V93" s="2"/>
    </row>
    <row r="94" spans="1:22">
      <c r="A94" s="2" t="s">
        <v>4</v>
      </c>
      <c r="B94" s="2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2"/>
    </row>
    <row r="95" spans="1:22" hidden="1">
      <c r="A95" s="2" t="s">
        <v>53</v>
      </c>
      <c r="B95" s="2"/>
      <c r="C95" s="2">
        <f>IF(C94="",0,IF(C94=C93,1,-0.25))</f>
        <v>0</v>
      </c>
      <c r="D95" s="2">
        <f t="shared" ref="D95:U95" si="8">IF(D94="",0,IF(D94=D93,1,-0.25))</f>
        <v>0</v>
      </c>
      <c r="E95" s="2">
        <f t="shared" si="8"/>
        <v>0</v>
      </c>
      <c r="F95" s="2">
        <f t="shared" si="8"/>
        <v>0</v>
      </c>
      <c r="G95" s="2">
        <f t="shared" si="8"/>
        <v>0</v>
      </c>
      <c r="H95" s="2">
        <f t="shared" si="8"/>
        <v>0</v>
      </c>
      <c r="I95" s="2">
        <f t="shared" si="8"/>
        <v>0</v>
      </c>
      <c r="J95" s="2">
        <f t="shared" si="8"/>
        <v>0</v>
      </c>
      <c r="K95" s="2">
        <f t="shared" si="8"/>
        <v>0</v>
      </c>
      <c r="L95" s="2">
        <f t="shared" si="8"/>
        <v>0</v>
      </c>
      <c r="M95" s="2">
        <f t="shared" si="8"/>
        <v>0</v>
      </c>
      <c r="N95" s="2">
        <f t="shared" si="8"/>
        <v>0</v>
      </c>
      <c r="O95" s="2">
        <f t="shared" si="8"/>
        <v>0</v>
      </c>
      <c r="P95" s="2">
        <f t="shared" si="8"/>
        <v>0</v>
      </c>
      <c r="Q95" s="2">
        <f t="shared" si="8"/>
        <v>0</v>
      </c>
      <c r="R95" s="2">
        <f t="shared" si="8"/>
        <v>0</v>
      </c>
      <c r="S95" s="2">
        <f t="shared" si="8"/>
        <v>0</v>
      </c>
      <c r="T95" s="2">
        <f t="shared" si="8"/>
        <v>0</v>
      </c>
      <c r="U95" s="2">
        <f t="shared" si="8"/>
        <v>0</v>
      </c>
      <c r="V95" s="2"/>
    </row>
    <row r="96" spans="1:22">
      <c r="A96" s="7" t="s">
        <v>11</v>
      </c>
      <c r="B96" s="7"/>
      <c r="C96" s="7" t="s">
        <v>79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>
      <c r="A98" s="3" t="s">
        <v>1</v>
      </c>
      <c r="B98" s="3"/>
      <c r="C98" s="22">
        <v>1</v>
      </c>
      <c r="D98" s="22">
        <v>2</v>
      </c>
      <c r="E98" s="22">
        <v>3</v>
      </c>
      <c r="F98" s="22">
        <v>4</v>
      </c>
      <c r="G98" s="22">
        <v>5</v>
      </c>
      <c r="H98" s="22">
        <v>6</v>
      </c>
      <c r="I98" s="22">
        <v>7</v>
      </c>
      <c r="J98" s="22">
        <v>8</v>
      </c>
      <c r="K98" s="22">
        <v>9</v>
      </c>
      <c r="L98" s="22">
        <v>10</v>
      </c>
      <c r="M98" s="22">
        <v>11</v>
      </c>
      <c r="N98" s="22">
        <v>12</v>
      </c>
      <c r="O98" s="22">
        <v>13</v>
      </c>
      <c r="P98" s="22">
        <v>14</v>
      </c>
      <c r="Q98" s="3"/>
      <c r="R98" s="3"/>
      <c r="S98" s="3"/>
      <c r="T98" s="3"/>
      <c r="U98" s="3"/>
      <c r="V98" s="3"/>
    </row>
    <row r="99" spans="1:22">
      <c r="A99" s="3" t="s">
        <v>2</v>
      </c>
      <c r="B99" s="3"/>
      <c r="C99" s="20" t="s">
        <v>59</v>
      </c>
      <c r="D99" s="20" t="s">
        <v>59</v>
      </c>
      <c r="E99" s="20" t="s">
        <v>59</v>
      </c>
      <c r="F99" s="20" t="s">
        <v>59</v>
      </c>
      <c r="G99" s="20" t="s">
        <v>59</v>
      </c>
      <c r="H99" s="20" t="s">
        <v>59</v>
      </c>
      <c r="I99" s="20" t="s">
        <v>59</v>
      </c>
      <c r="J99" s="20" t="s">
        <v>59</v>
      </c>
      <c r="K99" s="20" t="s">
        <v>59</v>
      </c>
      <c r="L99" s="20" t="s">
        <v>59</v>
      </c>
      <c r="M99" s="20" t="s">
        <v>59</v>
      </c>
      <c r="N99" s="20" t="s">
        <v>59</v>
      </c>
      <c r="O99" s="20" t="s">
        <v>59</v>
      </c>
      <c r="P99" s="20" t="s">
        <v>59</v>
      </c>
      <c r="Q99" s="3"/>
      <c r="R99" s="3"/>
      <c r="S99" s="3"/>
      <c r="T99" s="3"/>
      <c r="U99" s="3"/>
      <c r="V99" s="3"/>
    </row>
    <row r="100" spans="1:22">
      <c r="A100" s="3" t="s">
        <v>3</v>
      </c>
      <c r="B100" s="3"/>
      <c r="C100" s="3" t="s">
        <v>48</v>
      </c>
      <c r="D100" s="3" t="s">
        <v>48</v>
      </c>
      <c r="E100" s="3" t="s">
        <v>50</v>
      </c>
      <c r="F100" s="3" t="s">
        <v>48</v>
      </c>
      <c r="G100" s="3" t="s">
        <v>49</v>
      </c>
      <c r="H100" s="3" t="s">
        <v>52</v>
      </c>
      <c r="I100" s="3" t="s">
        <v>49</v>
      </c>
      <c r="J100" s="3" t="s">
        <v>49</v>
      </c>
      <c r="K100" s="3" t="s">
        <v>52</v>
      </c>
      <c r="L100" s="3" t="s">
        <v>48</v>
      </c>
      <c r="M100" s="3" t="s">
        <v>49</v>
      </c>
      <c r="N100" s="3" t="s">
        <v>48</v>
      </c>
      <c r="O100" s="3" t="s">
        <v>51</v>
      </c>
      <c r="P100" s="3" t="s">
        <v>51</v>
      </c>
      <c r="Q100" s="3"/>
      <c r="R100" s="3"/>
      <c r="S100" s="3"/>
      <c r="T100" s="3"/>
      <c r="U100" s="3"/>
      <c r="V100" s="3"/>
    </row>
    <row r="101" spans="1:22">
      <c r="A101" s="3" t="s">
        <v>4</v>
      </c>
      <c r="B101" s="3"/>
      <c r="C101" s="5" t="s">
        <v>50</v>
      </c>
      <c r="D101" s="5" t="s">
        <v>50</v>
      </c>
      <c r="E101" s="5" t="s">
        <v>48</v>
      </c>
      <c r="F101" s="5" t="s">
        <v>50</v>
      </c>
      <c r="G101" s="5" t="s">
        <v>50</v>
      </c>
      <c r="H101" s="5" t="s">
        <v>50</v>
      </c>
      <c r="I101" s="5" t="s">
        <v>50</v>
      </c>
      <c r="J101" s="5" t="s">
        <v>50</v>
      </c>
      <c r="K101" s="5" t="s">
        <v>50</v>
      </c>
      <c r="L101" s="5" t="s">
        <v>50</v>
      </c>
      <c r="M101" s="5" t="s">
        <v>50</v>
      </c>
      <c r="N101" s="5" t="s">
        <v>50</v>
      </c>
      <c r="O101" s="5" t="s">
        <v>50</v>
      </c>
      <c r="P101" s="5" t="s">
        <v>50</v>
      </c>
      <c r="Q101" s="3"/>
      <c r="R101" s="3"/>
      <c r="S101" s="3"/>
      <c r="T101" s="3"/>
      <c r="U101" s="3"/>
      <c r="V101" s="3"/>
    </row>
    <row r="102" spans="1:22" hidden="1">
      <c r="A102" s="3" t="s">
        <v>53</v>
      </c>
      <c r="B102" s="3"/>
      <c r="C102" s="3">
        <f>IF(C101="",0,IF(C101=C100,1,-0.25))</f>
        <v>-0.25</v>
      </c>
      <c r="D102" s="3">
        <f t="shared" ref="D102:P102" si="9">IF(D101="",0,IF(D101=D100,1,-0.25))</f>
        <v>-0.25</v>
      </c>
      <c r="E102" s="3">
        <f t="shared" si="9"/>
        <v>-0.25</v>
      </c>
      <c r="F102" s="3">
        <f t="shared" si="9"/>
        <v>-0.25</v>
      </c>
      <c r="G102" s="3">
        <f t="shared" si="9"/>
        <v>-0.25</v>
      </c>
      <c r="H102" s="3">
        <f t="shared" si="9"/>
        <v>-0.25</v>
      </c>
      <c r="I102" s="3">
        <f t="shared" si="9"/>
        <v>-0.25</v>
      </c>
      <c r="J102" s="3">
        <f t="shared" si="9"/>
        <v>-0.25</v>
      </c>
      <c r="K102" s="3">
        <f t="shared" si="9"/>
        <v>-0.25</v>
      </c>
      <c r="L102" s="3">
        <f t="shared" si="9"/>
        <v>-0.25</v>
      </c>
      <c r="M102" s="3">
        <f t="shared" si="9"/>
        <v>-0.25</v>
      </c>
      <c r="N102" s="3">
        <f t="shared" si="9"/>
        <v>-0.25</v>
      </c>
      <c r="O102" s="3">
        <f t="shared" si="9"/>
        <v>-0.25</v>
      </c>
      <c r="P102" s="3">
        <f t="shared" si="9"/>
        <v>-0.25</v>
      </c>
      <c r="Q102" s="3"/>
      <c r="R102" s="3"/>
      <c r="S102" s="3"/>
      <c r="T102" s="3"/>
      <c r="U102" s="3"/>
      <c r="V102" s="3"/>
    </row>
  </sheetData>
  <sheetProtection pivotTables="0"/>
  <mergeCells count="37">
    <mergeCell ref="E1:O1"/>
    <mergeCell ref="Q1:W1"/>
    <mergeCell ref="E2:H2"/>
    <mergeCell ref="I2:O2"/>
    <mergeCell ref="Q2:R2"/>
    <mergeCell ref="S2:W2"/>
    <mergeCell ref="F4:O4"/>
    <mergeCell ref="I5:J5"/>
    <mergeCell ref="I7:J7"/>
    <mergeCell ref="N7:O7"/>
    <mergeCell ref="A10:J10"/>
    <mergeCell ref="M10:V10"/>
    <mergeCell ref="H11:J13"/>
    <mergeCell ref="H19:S19"/>
    <mergeCell ref="A27:W27"/>
    <mergeCell ref="A28:E28"/>
    <mergeCell ref="G28:N28"/>
    <mergeCell ref="P28:W28"/>
    <mergeCell ref="V29:W30"/>
    <mergeCell ref="B31:C31"/>
    <mergeCell ref="J31:L31"/>
    <mergeCell ref="P31:Q31"/>
    <mergeCell ref="R31:T31"/>
    <mergeCell ref="V31:W31"/>
    <mergeCell ref="B29:C30"/>
    <mergeCell ref="D29:D30"/>
    <mergeCell ref="E29:E30"/>
    <mergeCell ref="R29:T30"/>
    <mergeCell ref="A29:A30"/>
    <mergeCell ref="G29:I29"/>
    <mergeCell ref="J29:M29"/>
    <mergeCell ref="U29:U30"/>
    <mergeCell ref="A37:B37"/>
    <mergeCell ref="A44:B44"/>
    <mergeCell ref="A56:B56"/>
    <mergeCell ref="N29:N30"/>
    <mergeCell ref="P29:Q30"/>
  </mergeCells>
  <dataValidations count="1">
    <dataValidation type="list" allowBlank="1" showInputMessage="1" showErrorMessage="1" sqref="C37:V37 C44:V44 C49:F49 C56:V56 C61:Q61 C68:J68 C75:V75 C80:F80 C87:R87 C94:U94 C101:P101">
      <formula1>$Y$54:$Y$59</formula1>
    </dataValidation>
  </dataValidations>
  <pageMargins left="0.25" right="0.25" top="0.75" bottom="0.75" header="0.3" footer="0.3"/>
  <pageSetup orientation="landscape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Scorereport">
                <anchor moveWithCells="1" sizeWithCells="1">
                  <from>
                    <xdr:col>0</xdr:col>
                    <xdr:colOff>101600</xdr:colOff>
                    <xdr:row>4</xdr:row>
                    <xdr:rowOff>190500</xdr:rowOff>
                  </from>
                  <to>
                    <xdr:col>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/>
  <dimension ref="A1:Z102"/>
  <sheetViews>
    <sheetView workbookViewId="0">
      <selection activeCell="L39" sqref="L39"/>
    </sheetView>
  </sheetViews>
  <sheetFormatPr baseColWidth="10" defaultColWidth="5.1640625" defaultRowHeight="15" x14ac:dyDescent="0"/>
  <cols>
    <col min="1" max="1" width="5.5" customWidth="1"/>
    <col min="3" max="3" width="5.1640625" customWidth="1"/>
    <col min="4" max="4" width="5.6640625" customWidth="1"/>
    <col min="5" max="5" width="6.1640625" customWidth="1"/>
    <col min="6" max="6" width="4.6640625" customWidth="1"/>
    <col min="7" max="7" width="6.6640625" customWidth="1"/>
    <col min="8" max="8" width="6.1640625" customWidth="1"/>
    <col min="10" max="10" width="4.83203125" customWidth="1"/>
    <col min="11" max="11" width="4.1640625" customWidth="1"/>
    <col min="12" max="12" width="5.1640625" customWidth="1"/>
    <col min="13" max="13" width="7.1640625" customWidth="1"/>
    <col min="14" max="14" width="5.83203125" customWidth="1"/>
    <col min="15" max="15" width="4" customWidth="1"/>
    <col min="17" max="17" width="5.1640625" customWidth="1"/>
    <col min="18" max="18" width="4.5" customWidth="1"/>
    <col min="19" max="19" width="4.6640625" customWidth="1"/>
    <col min="21" max="21" width="5.1640625" customWidth="1"/>
    <col min="22" max="22" width="4.6640625" customWidth="1"/>
    <col min="23" max="23" width="7.5" customWidth="1"/>
    <col min="24" max="24" width="11.1640625" hidden="1" customWidth="1"/>
    <col min="25" max="26" width="5.1640625" hidden="1" customWidth="1"/>
  </cols>
  <sheetData>
    <row r="1" spans="1:23" ht="19" thickBot="1">
      <c r="A1" s="25"/>
      <c r="B1" s="25"/>
      <c r="C1" s="25"/>
      <c r="E1" s="185" t="s">
        <v>83</v>
      </c>
      <c r="F1" s="185"/>
      <c r="G1" s="185"/>
      <c r="H1" s="185"/>
      <c r="I1" s="185"/>
      <c r="J1" s="185"/>
      <c r="K1" s="185"/>
      <c r="L1" s="185"/>
      <c r="M1" s="185"/>
      <c r="N1" s="185"/>
      <c r="O1" s="185"/>
      <c r="Q1" s="186" t="s">
        <v>24</v>
      </c>
      <c r="R1" s="187"/>
      <c r="S1" s="187"/>
      <c r="T1" s="187"/>
      <c r="U1" s="187"/>
      <c r="V1" s="187"/>
      <c r="W1" s="188"/>
    </row>
    <row r="2" spans="1:23" ht="18">
      <c r="A2" s="25"/>
      <c r="B2" s="25"/>
      <c r="C2" s="25"/>
      <c r="E2" s="189" t="s">
        <v>84</v>
      </c>
      <c r="F2" s="189"/>
      <c r="G2" s="189"/>
      <c r="H2" s="189"/>
      <c r="I2" s="190" t="s">
        <v>144</v>
      </c>
      <c r="J2" s="190"/>
      <c r="K2" s="190"/>
      <c r="L2" s="190"/>
      <c r="M2" s="190"/>
      <c r="N2" s="190"/>
      <c r="O2" s="190"/>
      <c r="Q2" s="191" t="s">
        <v>80</v>
      </c>
      <c r="R2" s="192"/>
      <c r="S2" s="193" t="s">
        <v>81</v>
      </c>
      <c r="T2" s="194"/>
      <c r="U2" s="194"/>
      <c r="V2" s="194"/>
      <c r="W2" s="195"/>
    </row>
    <row r="3" spans="1:23" ht="16" thickBot="1">
      <c r="F3" s="58"/>
      <c r="G3" s="58"/>
      <c r="H3" s="58"/>
      <c r="I3" s="58"/>
      <c r="Q3" s="29" t="s">
        <v>25</v>
      </c>
      <c r="R3" s="30"/>
      <c r="S3" s="27" t="s">
        <v>31</v>
      </c>
      <c r="T3" s="28"/>
      <c r="U3" s="28"/>
      <c r="V3" s="28"/>
      <c r="W3" s="31"/>
    </row>
    <row r="4" spans="1:23" ht="16" thickBot="1">
      <c r="F4" s="172" t="s">
        <v>85</v>
      </c>
      <c r="G4" s="173"/>
      <c r="H4" s="173"/>
      <c r="I4" s="173"/>
      <c r="J4" s="173"/>
      <c r="K4" s="173"/>
      <c r="L4" s="173"/>
      <c r="M4" s="173"/>
      <c r="N4" s="173"/>
      <c r="O4" s="174"/>
      <c r="Q4" s="29" t="s">
        <v>26</v>
      </c>
      <c r="R4" s="30"/>
      <c r="S4" s="27" t="s">
        <v>30</v>
      </c>
      <c r="T4" s="28"/>
      <c r="U4" s="28"/>
      <c r="V4" s="28"/>
      <c r="W4" s="31"/>
    </row>
    <row r="5" spans="1:23">
      <c r="F5" s="59" t="s">
        <v>12</v>
      </c>
      <c r="G5" s="60"/>
      <c r="H5" s="60"/>
      <c r="I5" s="175">
        <f>E12</f>
        <v>210</v>
      </c>
      <c r="J5" s="175"/>
      <c r="K5" s="60" t="s">
        <v>15</v>
      </c>
      <c r="L5" s="61"/>
      <c r="M5" s="60"/>
      <c r="N5" s="60"/>
      <c r="O5" s="62">
        <f>Q12</f>
        <v>250</v>
      </c>
      <c r="Q5" s="29" t="s">
        <v>27</v>
      </c>
      <c r="R5" s="30"/>
      <c r="S5" s="27" t="s">
        <v>32</v>
      </c>
      <c r="T5" s="28"/>
      <c r="U5" s="28"/>
      <c r="V5" s="28"/>
      <c r="W5" s="31"/>
    </row>
    <row r="6" spans="1:23" ht="16" thickBot="1">
      <c r="F6" s="66"/>
      <c r="G6" s="61"/>
      <c r="H6" s="61"/>
      <c r="I6" s="61"/>
      <c r="J6" s="61"/>
      <c r="K6" s="60" t="s">
        <v>14</v>
      </c>
      <c r="L6" s="60"/>
      <c r="M6" s="60"/>
      <c r="N6" s="61"/>
      <c r="O6" s="62">
        <f>L21</f>
        <v>210</v>
      </c>
      <c r="Q6" s="29" t="s">
        <v>28</v>
      </c>
      <c r="R6" s="30"/>
      <c r="S6" s="27" t="s">
        <v>33</v>
      </c>
      <c r="T6" s="28"/>
      <c r="U6" s="28"/>
      <c r="V6" s="28"/>
      <c r="W6" s="31"/>
    </row>
    <row r="7" spans="1:23" ht="16" thickBot="1">
      <c r="F7" s="63" t="s">
        <v>16</v>
      </c>
      <c r="G7" s="64"/>
      <c r="H7" s="64"/>
      <c r="I7" s="176">
        <f>I5+O5</f>
        <v>460</v>
      </c>
      <c r="J7" s="176"/>
      <c r="K7" s="65" t="s">
        <v>17</v>
      </c>
      <c r="L7" s="64"/>
      <c r="M7" s="64"/>
      <c r="N7" s="177">
        <f>I5+O5+O6</f>
        <v>670</v>
      </c>
      <c r="O7" s="178"/>
      <c r="Q7" s="32" t="s">
        <v>29</v>
      </c>
      <c r="R7" s="33"/>
      <c r="S7" s="34" t="s">
        <v>34</v>
      </c>
      <c r="T7" s="35"/>
      <c r="U7" s="35"/>
      <c r="V7" s="35"/>
      <c r="W7" s="36"/>
    </row>
    <row r="9" spans="1:23" ht="6" customHeight="1" thickBot="1"/>
    <row r="10" spans="1:23" ht="16" thickBot="1">
      <c r="A10" s="179" t="s">
        <v>12</v>
      </c>
      <c r="B10" s="180"/>
      <c r="C10" s="180"/>
      <c r="D10" s="180"/>
      <c r="E10" s="180"/>
      <c r="F10" s="180"/>
      <c r="G10" s="180"/>
      <c r="H10" s="180"/>
      <c r="I10" s="180"/>
      <c r="J10" s="181"/>
      <c r="K10" s="25"/>
      <c r="L10" s="25"/>
      <c r="M10" s="182" t="s">
        <v>82</v>
      </c>
      <c r="N10" s="183"/>
      <c r="O10" s="183"/>
      <c r="P10" s="183"/>
      <c r="Q10" s="183"/>
      <c r="R10" s="183"/>
      <c r="S10" s="183"/>
      <c r="T10" s="183"/>
      <c r="U10" s="183"/>
      <c r="V10" s="184"/>
    </row>
    <row r="11" spans="1:23" ht="15.75" customHeight="1">
      <c r="A11" s="102"/>
      <c r="B11" s="103" t="s">
        <v>35</v>
      </c>
      <c r="C11" s="103" t="s">
        <v>36</v>
      </c>
      <c r="D11" s="103"/>
      <c r="E11" s="103" t="s">
        <v>18</v>
      </c>
      <c r="F11" s="103"/>
      <c r="G11" s="103"/>
      <c r="H11" s="155" t="s">
        <v>42</v>
      </c>
      <c r="I11" s="155"/>
      <c r="J11" s="156"/>
      <c r="K11" s="25"/>
      <c r="L11" s="25"/>
      <c r="M11" s="39"/>
      <c r="N11" s="40" t="s">
        <v>35</v>
      </c>
      <c r="O11" s="40" t="s">
        <v>36</v>
      </c>
      <c r="P11" s="40"/>
      <c r="Q11" s="40" t="s">
        <v>82</v>
      </c>
      <c r="R11" s="40"/>
      <c r="S11" s="40"/>
      <c r="T11" s="40"/>
      <c r="U11" s="40"/>
      <c r="V11" s="41"/>
    </row>
    <row r="12" spans="1:23">
      <c r="A12" s="102"/>
      <c r="B12" s="103">
        <f>SUM(C38:V38,C69:T69,C95:R95)</f>
        <v>0</v>
      </c>
      <c r="C12" s="103">
        <f>ROUND(B12,0)</f>
        <v>0</v>
      </c>
      <c r="D12" s="103"/>
      <c r="E12" s="103">
        <f>VLOOKUP(C12,Tables!A3:D75,3,TRUE)</f>
        <v>210</v>
      </c>
      <c r="F12" s="103"/>
      <c r="G12" s="103"/>
      <c r="H12" s="157"/>
      <c r="I12" s="157"/>
      <c r="J12" s="158"/>
      <c r="K12" s="25"/>
      <c r="L12" s="25"/>
      <c r="M12" s="39"/>
      <c r="N12" s="40">
        <f>SUM(C45:V45,C50:F50,C76:V76,C81:F81,C88:U88)</f>
        <v>0</v>
      </c>
      <c r="O12" s="40">
        <f>ROUND(N12,0)</f>
        <v>0</v>
      </c>
      <c r="P12" s="40"/>
      <c r="Q12" s="40">
        <f>VLOOKUP(O12,Tables!A3:D75,2,TRUE)</f>
        <v>250</v>
      </c>
      <c r="R12" s="40"/>
      <c r="S12" s="40"/>
      <c r="T12" s="40"/>
      <c r="U12" s="40"/>
      <c r="V12" s="41"/>
    </row>
    <row r="13" spans="1:23">
      <c r="A13" s="102" t="s">
        <v>37</v>
      </c>
      <c r="B13" s="103"/>
      <c r="C13" s="103" t="s">
        <v>38</v>
      </c>
      <c r="D13" s="104" t="s">
        <v>39</v>
      </c>
      <c r="E13" s="103"/>
      <c r="F13" s="103" t="s">
        <v>40</v>
      </c>
      <c r="G13" s="103"/>
      <c r="H13" s="157"/>
      <c r="I13" s="157"/>
      <c r="J13" s="158"/>
      <c r="K13" s="25"/>
      <c r="L13" s="25"/>
      <c r="M13" s="112" t="s">
        <v>37</v>
      </c>
      <c r="N13" s="113"/>
      <c r="O13" s="113"/>
      <c r="P13" s="113" t="s">
        <v>38</v>
      </c>
      <c r="Q13" s="113" t="s">
        <v>39</v>
      </c>
      <c r="R13" s="113"/>
      <c r="S13" s="113" t="s">
        <v>40</v>
      </c>
      <c r="T13" s="113"/>
      <c r="U13" s="113" t="s">
        <v>41</v>
      </c>
      <c r="V13" s="114"/>
    </row>
    <row r="14" spans="1:23">
      <c r="A14" s="105" t="s">
        <v>19</v>
      </c>
      <c r="B14" s="106"/>
      <c r="C14" s="106">
        <f>COUNTIF($C$35:$V$35,"g")+COUNTIF($C$66:$T$66,"g")+COUNTIF($C$85:$R$85,"g")</f>
        <v>12</v>
      </c>
      <c r="D14" s="106">
        <v>0</v>
      </c>
      <c r="E14" s="106"/>
      <c r="F14" s="106">
        <v>1</v>
      </c>
      <c r="G14" s="106"/>
      <c r="H14" s="107">
        <f>D14/(F14+D14)</f>
        <v>0</v>
      </c>
      <c r="I14" s="103"/>
      <c r="J14" s="108"/>
      <c r="K14" s="25"/>
      <c r="L14" s="25"/>
      <c r="M14" s="42" t="s">
        <v>44</v>
      </c>
      <c r="N14" s="37"/>
      <c r="O14" s="37"/>
      <c r="P14" s="37">
        <f>COUNTIF($C$42:$V$42,"sc")+COUNTIF($C$47:$F$47,"sc")+COUNTIF($C$73:$V$73,"sc")+COUNTIF($C$78:$F$78,"sc")+COUNTIF($C$92:$U92,"sc")</f>
        <v>19</v>
      </c>
      <c r="Q14" s="37">
        <v>5</v>
      </c>
      <c r="R14" s="37"/>
      <c r="S14" s="37">
        <v>0</v>
      </c>
      <c r="T14" s="37"/>
      <c r="U14" s="38">
        <f>Q14/(S14+Q14)</f>
        <v>1</v>
      </c>
      <c r="V14" s="43"/>
    </row>
    <row r="15" spans="1:23">
      <c r="A15" s="105" t="s">
        <v>20</v>
      </c>
      <c r="B15" s="106"/>
      <c r="C15" s="106">
        <f>COUNTIF($C$35:$V$35,"n")+COUNTIF($C$66:$T$66,"n")+COUNTIF($C$85:$R$85,"n")</f>
        <v>7</v>
      </c>
      <c r="D15" s="106">
        <v>0</v>
      </c>
      <c r="E15" s="106"/>
      <c r="F15" s="106">
        <v>2</v>
      </c>
      <c r="G15" s="106"/>
      <c r="H15" s="107">
        <f>D15/(F15+D15)</f>
        <v>0</v>
      </c>
      <c r="I15" s="103"/>
      <c r="J15" s="108"/>
      <c r="K15" s="25"/>
      <c r="L15" s="25"/>
      <c r="M15" s="42" t="s">
        <v>43</v>
      </c>
      <c r="N15" s="37"/>
      <c r="O15" s="37"/>
      <c r="P15" s="37">
        <f>COUNTIF($C$42:$V$42,"pb")+COUNTIF($C$47:$F$47,"pb")+COUNTIF($C$73:$V$73,"pb")+COUNTIF($C$78:$F$78,"pb")+COUNTIF($C$92:$U92,"pb")</f>
        <v>48</v>
      </c>
      <c r="Q15" s="37">
        <v>15</v>
      </c>
      <c r="R15" s="37"/>
      <c r="S15" s="37">
        <v>0</v>
      </c>
      <c r="T15" s="37"/>
      <c r="U15" s="38">
        <f>Q15/(S15+Q15)</f>
        <v>1</v>
      </c>
      <c r="V15" s="43"/>
    </row>
    <row r="16" spans="1:23">
      <c r="A16" s="105" t="s">
        <v>21</v>
      </c>
      <c r="B16" s="106"/>
      <c r="C16" s="106">
        <f>COUNTIF($C$35:$V$35,"l")+COUNTIF($C$66:$T$66,"l")+COUNTIF($C$85:$R$85,"l")</f>
        <v>3</v>
      </c>
      <c r="D16" s="106">
        <v>0</v>
      </c>
      <c r="E16" s="106"/>
      <c r="F16" s="106">
        <v>1</v>
      </c>
      <c r="G16" s="106"/>
      <c r="H16" s="107">
        <f>D16/(F16+D16)</f>
        <v>0</v>
      </c>
      <c r="I16" s="103"/>
      <c r="J16" s="108"/>
      <c r="K16" s="25"/>
      <c r="L16" s="25"/>
      <c r="M16" s="39"/>
      <c r="N16" s="40"/>
      <c r="O16" s="40"/>
      <c r="P16" s="40"/>
      <c r="Q16" s="40"/>
      <c r="R16" s="40"/>
      <c r="S16" s="40"/>
      <c r="T16" s="40"/>
      <c r="U16" s="40"/>
      <c r="V16" s="41"/>
    </row>
    <row r="17" spans="1:23">
      <c r="A17" s="105" t="s">
        <v>22</v>
      </c>
      <c r="B17" s="106"/>
      <c r="C17" s="106">
        <f>COUNTIF($C$35:$V$35,"a")+COUNTIF($C$66:$T$66,"a")+COUNTIF($C$85:$R$85,"a")</f>
        <v>26</v>
      </c>
      <c r="D17" s="106">
        <v>0</v>
      </c>
      <c r="E17" s="106"/>
      <c r="F17" s="106">
        <v>5</v>
      </c>
      <c r="G17" s="106"/>
      <c r="H17" s="107">
        <f>D17/(F17+D17)</f>
        <v>0</v>
      </c>
      <c r="I17" s="103"/>
      <c r="J17" s="108"/>
      <c r="K17" s="25"/>
      <c r="L17" s="25"/>
      <c r="M17" s="39"/>
      <c r="N17" s="40"/>
      <c r="O17" s="40"/>
      <c r="P17" s="40"/>
      <c r="Q17" s="40"/>
      <c r="R17" s="40"/>
      <c r="S17" s="40"/>
      <c r="T17" s="40"/>
      <c r="U17" s="40"/>
      <c r="V17" s="41"/>
    </row>
    <row r="18" spans="1:23" ht="16" thickBot="1">
      <c r="A18" s="109" t="s">
        <v>23</v>
      </c>
      <c r="B18" s="110"/>
      <c r="C18" s="110">
        <f>COUNTIF($C$35:$V$35,"d")+COUNTIF($C$66:$T$66,"d")+COUNTIF($C$85:$R$85,"d")</f>
        <v>6</v>
      </c>
      <c r="D18" s="110">
        <v>0</v>
      </c>
      <c r="E18" s="110"/>
      <c r="F18" s="110">
        <v>1</v>
      </c>
      <c r="G18" s="110"/>
      <c r="H18" s="111">
        <f>D18/(F18+D18)</f>
        <v>0</v>
      </c>
      <c r="I18" s="103"/>
      <c r="J18" s="108"/>
      <c r="K18" s="25"/>
      <c r="L18" s="25"/>
      <c r="M18" s="39"/>
      <c r="N18" s="40"/>
      <c r="O18" s="40"/>
      <c r="P18" s="40"/>
      <c r="Q18" s="40"/>
      <c r="R18" s="40"/>
      <c r="S18" s="40"/>
      <c r="T18" s="44"/>
      <c r="U18" s="44"/>
      <c r="V18" s="45"/>
    </row>
    <row r="19" spans="1:23" ht="16" thickBot="1">
      <c r="H19" s="159" t="s">
        <v>14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1"/>
    </row>
    <row r="20" spans="1:23">
      <c r="H20" s="46"/>
      <c r="I20" s="47" t="s">
        <v>35</v>
      </c>
      <c r="J20" s="47" t="s">
        <v>36</v>
      </c>
      <c r="K20" s="47"/>
      <c r="L20" s="47" t="s">
        <v>63</v>
      </c>
      <c r="M20" s="47"/>
      <c r="N20" s="47"/>
      <c r="O20" s="47" t="s">
        <v>76</v>
      </c>
      <c r="P20" s="47"/>
      <c r="Q20" s="47"/>
      <c r="R20" s="47"/>
      <c r="S20" s="48"/>
    </row>
    <row r="21" spans="1:23">
      <c r="H21" s="46"/>
      <c r="I21" s="47">
        <f>SUM(C57:V57,C62:Q62,C102:P102)</f>
        <v>-3.5</v>
      </c>
      <c r="J21" s="47">
        <f>ROUND(I21,0)</f>
        <v>-4</v>
      </c>
      <c r="K21" s="47"/>
      <c r="L21" s="47">
        <f>INDEX(Tables!F12:R74, MATCH(J21,Tables!F12:F74,0), MATCH(O21,Tables!F12:R12,0))</f>
        <v>210</v>
      </c>
      <c r="M21" s="47"/>
      <c r="N21" s="47"/>
      <c r="O21" s="49">
        <v>6</v>
      </c>
      <c r="P21" s="47"/>
      <c r="Q21" s="47"/>
      <c r="R21" s="47"/>
      <c r="S21" s="48"/>
    </row>
    <row r="22" spans="1:23">
      <c r="H22" s="115" t="s">
        <v>37</v>
      </c>
      <c r="I22" s="116"/>
      <c r="J22" s="116"/>
      <c r="K22" s="116"/>
      <c r="L22" s="116"/>
      <c r="M22" s="117" t="s">
        <v>38</v>
      </c>
      <c r="N22" s="116" t="s">
        <v>39</v>
      </c>
      <c r="O22" s="116"/>
      <c r="P22" s="116" t="s">
        <v>40</v>
      </c>
      <c r="Q22" s="116"/>
      <c r="R22" s="116" t="s">
        <v>41</v>
      </c>
      <c r="S22" s="118"/>
    </row>
    <row r="23" spans="1:23">
      <c r="H23" s="52" t="s">
        <v>45</v>
      </c>
      <c r="I23" s="50"/>
      <c r="J23" s="50"/>
      <c r="K23" s="50"/>
      <c r="L23" s="50"/>
      <c r="M23" s="50">
        <f>COUNTIF($C$54:$V$54,"is")+COUNTIF($C$59:$Q$59,"is")+COUNTIF($C$99:$P$99,"is")</f>
        <v>25</v>
      </c>
      <c r="N23" s="50">
        <v>0</v>
      </c>
      <c r="O23" s="50"/>
      <c r="P23" s="50">
        <v>25</v>
      </c>
      <c r="Q23" s="50"/>
      <c r="R23" s="51">
        <f>N23/(P23+N23)</f>
        <v>0</v>
      </c>
      <c r="S23" s="53"/>
    </row>
    <row r="24" spans="1:23">
      <c r="H24" s="52" t="s">
        <v>46</v>
      </c>
      <c r="I24" s="50"/>
      <c r="J24" s="50"/>
      <c r="K24" s="50"/>
      <c r="L24" s="50"/>
      <c r="M24" s="50">
        <f>COUNTIF($C$54:$V$54,"ip")+COUNTIF($C$59:$Q$59,"ip")+COUNTIF($C$99:$P$99,"ip")</f>
        <v>6</v>
      </c>
      <c r="N24" s="50">
        <v>0</v>
      </c>
      <c r="O24" s="50"/>
      <c r="P24" s="50">
        <v>6</v>
      </c>
      <c r="Q24" s="50"/>
      <c r="R24" s="51">
        <f>N24/(P24+N24)</f>
        <v>0</v>
      </c>
      <c r="S24" s="53"/>
    </row>
    <row r="25" spans="1:23" ht="16" thickBot="1">
      <c r="H25" s="54" t="s">
        <v>47</v>
      </c>
      <c r="I25" s="55"/>
      <c r="J25" s="55"/>
      <c r="K25" s="55"/>
      <c r="L25" s="55"/>
      <c r="M25" s="55">
        <f>COUNTIF($C$54:$V$54,"ise")+COUNTIF($C$59:$Q$59,"ise")+COUNTIF($C$99:$P$99,"ise")</f>
        <v>18</v>
      </c>
      <c r="N25" s="55">
        <v>0</v>
      </c>
      <c r="O25" s="55"/>
      <c r="P25" s="55">
        <v>18</v>
      </c>
      <c r="Q25" s="55"/>
      <c r="R25" s="56">
        <f>N25/(P25+N25)</f>
        <v>0</v>
      </c>
      <c r="S25" s="57"/>
    </row>
    <row r="26" spans="1:23" ht="4.5" customHeight="1"/>
    <row r="27" spans="1:23" ht="16" thickBot="1">
      <c r="A27" s="162" t="s">
        <v>86</v>
      </c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spans="1:23" ht="15.75" customHeight="1" thickBot="1">
      <c r="A28" s="163" t="s">
        <v>12</v>
      </c>
      <c r="B28" s="164"/>
      <c r="C28" s="164"/>
      <c r="D28" s="164"/>
      <c r="E28" s="165"/>
      <c r="F28" s="67"/>
      <c r="G28" s="166" t="s">
        <v>82</v>
      </c>
      <c r="H28" s="167"/>
      <c r="I28" s="167"/>
      <c r="J28" s="167"/>
      <c r="K28" s="167"/>
      <c r="L28" s="167"/>
      <c r="M28" s="167"/>
      <c r="N28" s="168"/>
      <c r="O28" s="68"/>
      <c r="P28" s="169" t="s">
        <v>14</v>
      </c>
      <c r="Q28" s="170"/>
      <c r="R28" s="170"/>
      <c r="S28" s="170"/>
      <c r="T28" s="170"/>
      <c r="U28" s="170"/>
      <c r="V28" s="170"/>
      <c r="W28" s="171"/>
    </row>
    <row r="29" spans="1:23" ht="15.75" customHeight="1">
      <c r="A29" s="138" t="s">
        <v>87</v>
      </c>
      <c r="B29" s="151" t="s">
        <v>88</v>
      </c>
      <c r="C29" s="151"/>
      <c r="D29" s="151" t="s">
        <v>89</v>
      </c>
      <c r="E29" s="153" t="s">
        <v>70</v>
      </c>
      <c r="F29" s="67"/>
      <c r="G29" s="140" t="s">
        <v>90</v>
      </c>
      <c r="H29" s="141"/>
      <c r="I29" s="141"/>
      <c r="J29" s="141" t="s">
        <v>43</v>
      </c>
      <c r="K29" s="141"/>
      <c r="L29" s="141"/>
      <c r="M29" s="141"/>
      <c r="N29" s="132" t="s">
        <v>70</v>
      </c>
      <c r="O29" s="68"/>
      <c r="P29" s="134" t="s">
        <v>91</v>
      </c>
      <c r="Q29" s="135"/>
      <c r="R29" s="135" t="s">
        <v>92</v>
      </c>
      <c r="S29" s="135"/>
      <c r="T29" s="135"/>
      <c r="U29" s="135" t="s">
        <v>93</v>
      </c>
      <c r="V29" s="135" t="s">
        <v>70</v>
      </c>
      <c r="W29" s="142"/>
    </row>
    <row r="30" spans="1:23" ht="14.25" customHeight="1">
      <c r="A30" s="139"/>
      <c r="B30" s="152"/>
      <c r="C30" s="152"/>
      <c r="D30" s="152"/>
      <c r="E30" s="154"/>
      <c r="F30" s="67"/>
      <c r="G30" s="72" t="s">
        <v>94</v>
      </c>
      <c r="H30" s="69" t="s">
        <v>95</v>
      </c>
      <c r="I30" s="69" t="s">
        <v>96</v>
      </c>
      <c r="J30" s="70" t="s">
        <v>97</v>
      </c>
      <c r="K30" s="69"/>
      <c r="L30" s="69"/>
      <c r="M30" s="69" t="s">
        <v>98</v>
      </c>
      <c r="N30" s="133"/>
      <c r="O30" s="68"/>
      <c r="P30" s="136"/>
      <c r="Q30" s="137"/>
      <c r="R30" s="137"/>
      <c r="S30" s="137"/>
      <c r="T30" s="137"/>
      <c r="U30" s="137"/>
      <c r="V30" s="137"/>
      <c r="W30" s="143"/>
    </row>
    <row r="31" spans="1:23" ht="44.25" customHeight="1" thickBot="1">
      <c r="A31" s="75">
        <f>VLOOKUP(I5,Tables!H1:L9,4,TRUE)</f>
        <v>9</v>
      </c>
      <c r="B31" s="144" t="str">
        <f>VLOOKUP(I5,Tables!H1:L9,3,TRUE)</f>
        <v>4 MC, 5 GI</v>
      </c>
      <c r="C31" s="145"/>
      <c r="D31" s="76">
        <f>VLOOKUP(I5,Tables!H1:L9,2,TRUE)</f>
        <v>11</v>
      </c>
      <c r="E31" s="71">
        <f>VLOOKUP(I5,Tables!H1:L9,5,TRUE)</f>
        <v>530</v>
      </c>
      <c r="F31" s="67"/>
      <c r="G31" s="77">
        <f>VLOOKUP(Z48,Tables!A79:E87,2,TRUE)</f>
        <v>4</v>
      </c>
      <c r="H31" s="78">
        <f>VLOOKUP(Z48,Tables!A79:E87,3,TRUE)</f>
        <v>3</v>
      </c>
      <c r="I31" s="78">
        <f>VLOOKUP(Z48,Tables!A79:E87,4,TRUE)</f>
        <v>3</v>
      </c>
      <c r="J31" s="146" t="str">
        <f>VLOOKUP(Y48,Tables!G79:K87,3,TRUE)</f>
        <v>26 of 48</v>
      </c>
      <c r="K31" s="146"/>
      <c r="L31" s="146"/>
      <c r="M31" s="73">
        <f>VLOOKUP(Y48,Tables!G79:K87,4,TRUE)</f>
        <v>0.54</v>
      </c>
      <c r="N31" s="74">
        <f>VLOOKUP(Y48,Tables!G79:K87,5,TRUE)</f>
        <v>530</v>
      </c>
      <c r="O31" s="68"/>
      <c r="P31" s="147">
        <f>VLOOKUP(O6,Tables!M79:Q89,2,TRUE)</f>
        <v>7</v>
      </c>
      <c r="Q31" s="148"/>
      <c r="R31" s="148" t="str">
        <f>VLOOKUP(O6,Tables!M79:Q89,3,TRUE)</f>
        <v>12-22, 3 of #30-35</v>
      </c>
      <c r="S31" s="148"/>
      <c r="T31" s="148"/>
      <c r="U31" s="79">
        <f>VLOOKUP(O6,Tables!M79:Q89,4,TRUE)</f>
        <v>8</v>
      </c>
      <c r="V31" s="149">
        <f>VLOOKUP(O6,Tables!M79:Q89,5,TRUE)</f>
        <v>530</v>
      </c>
      <c r="W31" s="150"/>
    </row>
    <row r="32" spans="1:23">
      <c r="A32" s="9" t="s">
        <v>0</v>
      </c>
      <c r="B32" s="1"/>
      <c r="C32" s="9" t="s">
        <v>77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6">
      <c r="A34" s="1" t="s">
        <v>1</v>
      </c>
      <c r="B34" s="1"/>
      <c r="C34" s="24">
        <v>1</v>
      </c>
      <c r="D34" s="24">
        <v>2</v>
      </c>
      <c r="E34" s="24">
        <v>3</v>
      </c>
      <c r="F34" s="24">
        <v>4</v>
      </c>
      <c r="G34" s="24">
        <v>5</v>
      </c>
      <c r="H34" s="24">
        <v>6</v>
      </c>
      <c r="I34" s="24">
        <v>7</v>
      </c>
      <c r="J34" s="24">
        <v>8</v>
      </c>
      <c r="K34" s="24">
        <v>9</v>
      </c>
      <c r="L34" s="24">
        <v>10</v>
      </c>
      <c r="M34" s="24">
        <v>11</v>
      </c>
      <c r="N34" s="24">
        <v>12</v>
      </c>
      <c r="O34" s="24">
        <v>13</v>
      </c>
      <c r="P34" s="24">
        <v>14</v>
      </c>
      <c r="Q34" s="24">
        <v>15</v>
      </c>
      <c r="R34" s="24">
        <v>16</v>
      </c>
      <c r="S34" s="24">
        <v>17</v>
      </c>
      <c r="T34" s="24">
        <v>18</v>
      </c>
      <c r="U34" s="24">
        <v>19</v>
      </c>
      <c r="V34" s="24">
        <v>20</v>
      </c>
    </row>
    <row r="35" spans="1:26" ht="15" customHeight="1">
      <c r="A35" s="1" t="s">
        <v>2</v>
      </c>
      <c r="B35" s="1"/>
      <c r="C35" s="18" t="s">
        <v>50</v>
      </c>
      <c r="D35" s="18" t="s">
        <v>54</v>
      </c>
      <c r="E35" s="18" t="s">
        <v>55</v>
      </c>
      <c r="F35" s="18" t="s">
        <v>56</v>
      </c>
      <c r="G35" s="18" t="s">
        <v>50</v>
      </c>
      <c r="H35" s="18" t="s">
        <v>50</v>
      </c>
      <c r="I35" s="18" t="s">
        <v>50</v>
      </c>
      <c r="J35" s="18" t="s">
        <v>50</v>
      </c>
      <c r="K35" s="18" t="s">
        <v>50</v>
      </c>
      <c r="L35" s="18" t="s">
        <v>56</v>
      </c>
      <c r="M35" s="18" t="s">
        <v>50</v>
      </c>
      <c r="N35" s="18" t="s">
        <v>52</v>
      </c>
      <c r="O35" s="18" t="s">
        <v>50</v>
      </c>
      <c r="P35" s="18" t="s">
        <v>56</v>
      </c>
      <c r="Q35" s="18" t="s">
        <v>50</v>
      </c>
      <c r="R35" s="18" t="s">
        <v>50</v>
      </c>
      <c r="S35" s="18" t="s">
        <v>52</v>
      </c>
      <c r="T35" s="18" t="s">
        <v>56</v>
      </c>
      <c r="U35" s="18" t="s">
        <v>50</v>
      </c>
      <c r="V35" s="18" t="s">
        <v>54</v>
      </c>
    </row>
    <row r="36" spans="1:26" ht="15.75" customHeight="1">
      <c r="A36" s="1" t="s">
        <v>3</v>
      </c>
      <c r="B36" s="1"/>
      <c r="C36" s="1" t="s">
        <v>48</v>
      </c>
      <c r="D36" s="1" t="s">
        <v>48</v>
      </c>
      <c r="E36" s="1" t="s">
        <v>49</v>
      </c>
      <c r="F36" s="1" t="s">
        <v>50</v>
      </c>
      <c r="G36" s="1" t="s">
        <v>51</v>
      </c>
      <c r="H36" s="1" t="s">
        <v>48</v>
      </c>
      <c r="I36" s="1" t="s">
        <v>51</v>
      </c>
      <c r="J36" s="1" t="s">
        <v>50</v>
      </c>
      <c r="K36" s="1" t="s">
        <v>49</v>
      </c>
      <c r="L36" s="1" t="s">
        <v>48</v>
      </c>
      <c r="M36" s="1" t="s">
        <v>48</v>
      </c>
      <c r="N36" s="1" t="s">
        <v>48</v>
      </c>
      <c r="O36" s="1" t="s">
        <v>52</v>
      </c>
      <c r="P36" s="1" t="s">
        <v>48</v>
      </c>
      <c r="Q36" s="1" t="s">
        <v>51</v>
      </c>
      <c r="R36" s="1" t="s">
        <v>52</v>
      </c>
      <c r="S36" s="1" t="s">
        <v>50</v>
      </c>
      <c r="T36" s="1" t="s">
        <v>51</v>
      </c>
      <c r="U36" s="1" t="s">
        <v>48</v>
      </c>
      <c r="V36" s="1" t="s">
        <v>50</v>
      </c>
    </row>
    <row r="37" spans="1:26" ht="14.25" customHeight="1">
      <c r="A37" s="129" t="s">
        <v>4</v>
      </c>
      <c r="B37" s="129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Y37" t="s">
        <v>140</v>
      </c>
      <c r="Z37" t="s">
        <v>141</v>
      </c>
    </row>
    <row r="38" spans="1:26" ht="14.25" hidden="1" customHeight="1">
      <c r="A38" s="1" t="s">
        <v>53</v>
      </c>
      <c r="B38" s="1"/>
      <c r="C38" s="1">
        <f>IF(C37="",0,IF(C37=C36,1,-0.25))</f>
        <v>0</v>
      </c>
      <c r="D38" s="1">
        <f t="shared" ref="D38:V38" si="0">IF(D37="",0,IF(D37=D36,1,-0.25))</f>
        <v>0</v>
      </c>
      <c r="E38" s="1">
        <f t="shared" si="0"/>
        <v>0</v>
      </c>
      <c r="F38" s="1">
        <f t="shared" si="0"/>
        <v>0</v>
      </c>
      <c r="G38" s="1">
        <f t="shared" si="0"/>
        <v>0</v>
      </c>
      <c r="H38" s="1">
        <f t="shared" si="0"/>
        <v>0</v>
      </c>
      <c r="I38" s="1">
        <f t="shared" si="0"/>
        <v>0</v>
      </c>
      <c r="J38" s="1">
        <f t="shared" si="0"/>
        <v>0</v>
      </c>
      <c r="K38" s="1">
        <f t="shared" si="0"/>
        <v>0</v>
      </c>
      <c r="L38" s="1">
        <f t="shared" si="0"/>
        <v>0</v>
      </c>
      <c r="M38" s="1">
        <f t="shared" si="0"/>
        <v>0</v>
      </c>
      <c r="N38" s="1">
        <f t="shared" si="0"/>
        <v>0</v>
      </c>
      <c r="O38" s="1">
        <f t="shared" si="0"/>
        <v>0</v>
      </c>
      <c r="P38" s="1">
        <f t="shared" si="0"/>
        <v>0</v>
      </c>
      <c r="Q38" s="1">
        <f t="shared" si="0"/>
        <v>0</v>
      </c>
      <c r="R38" s="1">
        <f t="shared" si="0"/>
        <v>0</v>
      </c>
      <c r="S38" s="1">
        <f t="shared" si="0"/>
        <v>0</v>
      </c>
      <c r="T38" s="1">
        <f t="shared" si="0"/>
        <v>0</v>
      </c>
      <c r="U38" s="1">
        <f t="shared" si="0"/>
        <v>0</v>
      </c>
      <c r="V38" s="1">
        <f t="shared" si="0"/>
        <v>0</v>
      </c>
    </row>
    <row r="39" spans="1:26" ht="14.25" customHeight="1">
      <c r="A39" s="8" t="s">
        <v>5</v>
      </c>
      <c r="B39" s="2"/>
      <c r="C39" s="8" t="s">
        <v>78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Y39">
        <f>SUMIF(C42:V42,"=pb",C45:V45)</f>
        <v>0</v>
      </c>
      <c r="Z39" s="119">
        <f>SUMIF(C42:V42,"=sc",C45:V45)</f>
        <v>0</v>
      </c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Y40">
        <f>SUMIF(C47:F47,"=pb",C50:F50)</f>
        <v>0</v>
      </c>
      <c r="Z40">
        <f>SUMIF(C47:F47,"=sc",C50:F50)</f>
        <v>0</v>
      </c>
    </row>
    <row r="41" spans="1:26">
      <c r="A41" s="2" t="s">
        <v>1</v>
      </c>
      <c r="B41" s="2"/>
      <c r="C41" s="23">
        <v>1</v>
      </c>
      <c r="D41" s="23">
        <v>2</v>
      </c>
      <c r="E41" s="23">
        <v>3</v>
      </c>
      <c r="F41" s="23">
        <v>4</v>
      </c>
      <c r="G41" s="23">
        <v>5</v>
      </c>
      <c r="H41" s="23">
        <v>6</v>
      </c>
      <c r="I41" s="23">
        <v>7</v>
      </c>
      <c r="J41" s="23">
        <v>8</v>
      </c>
      <c r="K41" s="23">
        <v>9</v>
      </c>
      <c r="L41" s="23">
        <v>10</v>
      </c>
      <c r="M41" s="23">
        <v>11</v>
      </c>
      <c r="N41" s="23">
        <v>12</v>
      </c>
      <c r="O41" s="23">
        <v>13</v>
      </c>
      <c r="P41" s="23">
        <v>14</v>
      </c>
      <c r="Q41" s="23">
        <v>15</v>
      </c>
      <c r="R41" s="23">
        <v>16</v>
      </c>
      <c r="S41" s="23">
        <v>17</v>
      </c>
      <c r="T41" s="23">
        <v>18</v>
      </c>
      <c r="U41" s="23">
        <v>19</v>
      </c>
      <c r="V41" s="23">
        <v>20</v>
      </c>
      <c r="Y41">
        <f>SUMIF(C73:V73,"=pb",C76:V76)</f>
        <v>0</v>
      </c>
      <c r="Z41">
        <f>SUMIF(C73:V73,"=sc",C76:V76)</f>
        <v>0</v>
      </c>
    </row>
    <row r="42" spans="1:26">
      <c r="A42" s="2" t="s">
        <v>2</v>
      </c>
      <c r="B42" s="2"/>
      <c r="C42" s="19" t="s">
        <v>57</v>
      </c>
      <c r="D42" s="19" t="s">
        <v>57</v>
      </c>
      <c r="E42" s="19" t="s">
        <v>57</v>
      </c>
      <c r="F42" s="19" t="s">
        <v>57</v>
      </c>
      <c r="G42" s="19" t="s">
        <v>57</v>
      </c>
      <c r="H42" s="19" t="s">
        <v>58</v>
      </c>
      <c r="I42" s="19" t="s">
        <v>58</v>
      </c>
      <c r="J42" s="19" t="s">
        <v>58</v>
      </c>
      <c r="K42" s="19" t="s">
        <v>58</v>
      </c>
      <c r="L42" s="19" t="s">
        <v>58</v>
      </c>
      <c r="M42" s="19" t="s">
        <v>58</v>
      </c>
      <c r="N42" s="19" t="s">
        <v>58</v>
      </c>
      <c r="O42" s="19" t="s">
        <v>58</v>
      </c>
      <c r="P42" s="19" t="s">
        <v>58</v>
      </c>
      <c r="Q42" s="19" t="s">
        <v>58</v>
      </c>
      <c r="R42" s="19" t="s">
        <v>58</v>
      </c>
      <c r="S42" s="19" t="s">
        <v>58</v>
      </c>
      <c r="T42" s="19" t="s">
        <v>58</v>
      </c>
      <c r="U42" s="19" t="s">
        <v>58</v>
      </c>
      <c r="V42" s="19" t="s">
        <v>58</v>
      </c>
      <c r="Y42">
        <f>SUMIF(C78:F78,"=pb",C81:F81)</f>
        <v>0</v>
      </c>
      <c r="Z42">
        <f>SUMIF(C78:F78,"=sc",C81:F81)</f>
        <v>0</v>
      </c>
    </row>
    <row r="43" spans="1:26">
      <c r="A43" s="2" t="s">
        <v>3</v>
      </c>
      <c r="B43" s="2"/>
      <c r="C43" s="2" t="s">
        <v>49</v>
      </c>
      <c r="D43" s="2" t="s">
        <v>50</v>
      </c>
      <c r="E43" s="2" t="s">
        <v>51</v>
      </c>
      <c r="F43" s="2" t="s">
        <v>50</v>
      </c>
      <c r="G43" s="2" t="s">
        <v>50</v>
      </c>
      <c r="H43" s="2" t="s">
        <v>49</v>
      </c>
      <c r="I43" s="2" t="s">
        <v>49</v>
      </c>
      <c r="J43" s="2" t="s">
        <v>48</v>
      </c>
      <c r="K43" s="2" t="s">
        <v>48</v>
      </c>
      <c r="L43" s="2" t="s">
        <v>50</v>
      </c>
      <c r="M43" s="2" t="s">
        <v>52</v>
      </c>
      <c r="N43" s="2" t="s">
        <v>48</v>
      </c>
      <c r="O43" s="2" t="s">
        <v>49</v>
      </c>
      <c r="P43" s="2" t="s">
        <v>52</v>
      </c>
      <c r="Q43" s="2" t="s">
        <v>48</v>
      </c>
      <c r="R43" s="2" t="s">
        <v>51</v>
      </c>
      <c r="S43" s="2" t="s">
        <v>49</v>
      </c>
      <c r="T43" s="2" t="s">
        <v>50</v>
      </c>
      <c r="U43" s="2" t="s">
        <v>52</v>
      </c>
      <c r="V43" s="2" t="s">
        <v>48</v>
      </c>
      <c r="Y43">
        <f>SUMIF(C85:U85,"=pb",C88:U88)</f>
        <v>0</v>
      </c>
      <c r="Z43">
        <f>SUMIF(C85:U85,"=sc",C88:U88)</f>
        <v>0</v>
      </c>
    </row>
    <row r="44" spans="1:26">
      <c r="A44" s="130" t="s">
        <v>4</v>
      </c>
      <c r="B44" s="130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spans="1:26" hidden="1">
      <c r="A45" s="2" t="s">
        <v>53</v>
      </c>
      <c r="B45" s="2"/>
      <c r="C45" s="2">
        <f>IF(C44="",0,IF(C44=C43,1,-0.25))</f>
        <v>0</v>
      </c>
      <c r="D45" s="2">
        <f t="shared" ref="D45:V45" si="1">IF(D44="",0,IF(D44=D43,1,-0.25))</f>
        <v>0</v>
      </c>
      <c r="E45" s="2">
        <f t="shared" si="1"/>
        <v>0</v>
      </c>
      <c r="F45" s="2">
        <f t="shared" si="1"/>
        <v>0</v>
      </c>
      <c r="G45" s="2">
        <f t="shared" si="1"/>
        <v>0</v>
      </c>
      <c r="H45" s="2">
        <f t="shared" si="1"/>
        <v>0</v>
      </c>
      <c r="I45" s="2">
        <f t="shared" si="1"/>
        <v>0</v>
      </c>
      <c r="J45" s="2">
        <f t="shared" si="1"/>
        <v>0</v>
      </c>
      <c r="K45" s="2">
        <f t="shared" si="1"/>
        <v>0</v>
      </c>
      <c r="L45" s="2">
        <f t="shared" si="1"/>
        <v>0</v>
      </c>
      <c r="M45" s="2">
        <f t="shared" si="1"/>
        <v>0</v>
      </c>
      <c r="N45" s="2">
        <f t="shared" si="1"/>
        <v>0</v>
      </c>
      <c r="O45" s="2">
        <f t="shared" si="1"/>
        <v>0</v>
      </c>
      <c r="P45" s="2">
        <f t="shared" si="1"/>
        <v>0</v>
      </c>
      <c r="Q45" s="2">
        <f t="shared" si="1"/>
        <v>0</v>
      </c>
      <c r="R45" s="2">
        <f t="shared" si="1"/>
        <v>0</v>
      </c>
      <c r="S45" s="2">
        <f t="shared" si="1"/>
        <v>0</v>
      </c>
      <c r="T45" s="2">
        <f t="shared" si="1"/>
        <v>0</v>
      </c>
      <c r="U45" s="2">
        <f t="shared" si="1"/>
        <v>0</v>
      </c>
      <c r="V45" s="2">
        <f t="shared" si="1"/>
        <v>0</v>
      </c>
      <c r="X45" s="25" t="s">
        <v>35</v>
      </c>
      <c r="Y45">
        <f>SUM(Y39:Y43)</f>
        <v>0</v>
      </c>
      <c r="Z45" s="119">
        <f>SUM(Z39:Z43)</f>
        <v>0</v>
      </c>
    </row>
    <row r="46" spans="1:26">
      <c r="A46" s="2"/>
      <c r="B46" s="2"/>
      <c r="C46" s="23">
        <v>21</v>
      </c>
      <c r="D46" s="23">
        <v>22</v>
      </c>
      <c r="E46" s="23">
        <v>23</v>
      </c>
      <c r="F46" s="23">
        <v>24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X46" t="s">
        <v>142</v>
      </c>
      <c r="Y46">
        <f>Y45*1.396</f>
        <v>0</v>
      </c>
      <c r="Z46">
        <f>Z45*(67/19)</f>
        <v>0</v>
      </c>
    </row>
    <row r="47" spans="1:26">
      <c r="A47" s="2"/>
      <c r="B47" s="2"/>
      <c r="C47" s="19" t="s">
        <v>58</v>
      </c>
      <c r="D47" s="19" t="s">
        <v>58</v>
      </c>
      <c r="E47" s="19" t="s">
        <v>58</v>
      </c>
      <c r="F47" s="19" t="s">
        <v>58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X47" t="s">
        <v>36</v>
      </c>
      <c r="Y47">
        <f>ROUND(Y46,0)</f>
        <v>0</v>
      </c>
      <c r="Z47">
        <f>ROUND(Z46,0)</f>
        <v>0</v>
      </c>
    </row>
    <row r="48" spans="1:26">
      <c r="A48" s="2"/>
      <c r="B48" s="2"/>
      <c r="C48" s="2" t="s">
        <v>49</v>
      </c>
      <c r="D48" s="2" t="s">
        <v>49</v>
      </c>
      <c r="E48" s="2" t="s">
        <v>49</v>
      </c>
      <c r="F48" s="2" t="s">
        <v>51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X48" t="s">
        <v>143</v>
      </c>
      <c r="Y48">
        <f>VLOOKUP(Y47,Tables!A3:D75,2,FALSE)</f>
        <v>250</v>
      </c>
      <c r="Z48">
        <f>VLOOKUP(Z47,Tables!A3:D75,2,TRUE)</f>
        <v>250</v>
      </c>
    </row>
    <row r="49" spans="1:25">
      <c r="A49" s="2"/>
      <c r="B49" s="2"/>
      <c r="C49" s="5"/>
      <c r="D49" s="5"/>
      <c r="E49" s="5"/>
      <c r="F49" s="5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5" hidden="1">
      <c r="A50" s="2" t="s">
        <v>53</v>
      </c>
      <c r="B50" s="2"/>
      <c r="C50" s="2">
        <f>IF(C49="",0,IF(C49=C48,1,-0.25))</f>
        <v>0</v>
      </c>
      <c r="D50" s="2">
        <f>IF(D49="",0,IF(D49=D48,1,-0.25))</f>
        <v>0</v>
      </c>
      <c r="E50" s="2">
        <f>IF(E49="",0,IF(E49=E48,1,-0.25))</f>
        <v>0</v>
      </c>
      <c r="F50" s="2">
        <f>IF(F49="",0,IF(F49=F48,1,-0.25))</f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5">
      <c r="A51" s="7" t="s">
        <v>6</v>
      </c>
      <c r="B51" s="3"/>
      <c r="C51" s="7" t="s">
        <v>79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5">
      <c r="A53" s="3" t="s">
        <v>1</v>
      </c>
      <c r="B53" s="3"/>
      <c r="C53" s="22">
        <v>1</v>
      </c>
      <c r="D53" s="22">
        <v>2</v>
      </c>
      <c r="E53" s="22">
        <v>3</v>
      </c>
      <c r="F53" s="22">
        <v>4</v>
      </c>
      <c r="G53" s="22">
        <v>5</v>
      </c>
      <c r="H53" s="22">
        <v>6</v>
      </c>
      <c r="I53" s="22">
        <v>7</v>
      </c>
      <c r="J53" s="22">
        <v>8</v>
      </c>
      <c r="K53" s="22">
        <v>9</v>
      </c>
      <c r="L53" s="22">
        <v>10</v>
      </c>
      <c r="M53" s="22">
        <v>11</v>
      </c>
      <c r="N53" s="22">
        <v>12</v>
      </c>
      <c r="O53" s="22">
        <v>13</v>
      </c>
      <c r="P53" s="22">
        <v>14</v>
      </c>
      <c r="Q53" s="22">
        <v>15</v>
      </c>
      <c r="R53" s="22">
        <v>16</v>
      </c>
      <c r="S53" s="22">
        <v>17</v>
      </c>
      <c r="T53" s="22">
        <v>18</v>
      </c>
      <c r="U53" s="22">
        <v>19</v>
      </c>
      <c r="V53" s="22">
        <v>20</v>
      </c>
    </row>
    <row r="54" spans="1:25">
      <c r="A54" s="3" t="s">
        <v>2</v>
      </c>
      <c r="B54" s="3"/>
      <c r="C54" s="20" t="s">
        <v>59</v>
      </c>
      <c r="D54" s="20" t="s">
        <v>59</v>
      </c>
      <c r="E54" s="20" t="s">
        <v>59</v>
      </c>
      <c r="F54" s="20" t="s">
        <v>59</v>
      </c>
      <c r="G54" s="20" t="s">
        <v>59</v>
      </c>
      <c r="H54" s="20" t="s">
        <v>59</v>
      </c>
      <c r="I54" s="20" t="s">
        <v>59</v>
      </c>
      <c r="J54" s="20" t="s">
        <v>59</v>
      </c>
      <c r="K54" s="20" t="s">
        <v>59</v>
      </c>
      <c r="L54" s="20" t="s">
        <v>59</v>
      </c>
      <c r="M54" s="20" t="s">
        <v>59</v>
      </c>
      <c r="N54" s="20" t="s">
        <v>60</v>
      </c>
      <c r="O54" s="20" t="s">
        <v>60</v>
      </c>
      <c r="P54" s="20" t="s">
        <v>60</v>
      </c>
      <c r="Q54" s="20" t="s">
        <v>60</v>
      </c>
      <c r="R54" s="20" t="s">
        <v>60</v>
      </c>
      <c r="S54" s="20" t="s">
        <v>60</v>
      </c>
      <c r="T54" s="20" t="s">
        <v>60</v>
      </c>
      <c r="U54" s="20" t="s">
        <v>60</v>
      </c>
      <c r="V54" s="20" t="s">
        <v>60</v>
      </c>
      <c r="Y54" s="25"/>
    </row>
    <row r="55" spans="1:25">
      <c r="A55" s="3" t="s">
        <v>3</v>
      </c>
      <c r="B55" s="3"/>
      <c r="C55" s="3" t="s">
        <v>50</v>
      </c>
      <c r="D55" s="3" t="s">
        <v>52</v>
      </c>
      <c r="E55" s="3" t="s">
        <v>52</v>
      </c>
      <c r="F55" s="3" t="s">
        <v>50</v>
      </c>
      <c r="G55" s="3" t="s">
        <v>48</v>
      </c>
      <c r="H55" s="3" t="s">
        <v>48</v>
      </c>
      <c r="I55" s="3" t="s">
        <v>51</v>
      </c>
      <c r="J55" s="3" t="s">
        <v>49</v>
      </c>
      <c r="K55" s="3" t="s">
        <v>52</v>
      </c>
      <c r="L55" s="3" t="s">
        <v>49</v>
      </c>
      <c r="M55" s="3" t="s">
        <v>50</v>
      </c>
      <c r="N55" s="3" t="s">
        <v>51</v>
      </c>
      <c r="O55" s="3" t="s">
        <v>49</v>
      </c>
      <c r="P55" s="3" t="s">
        <v>48</v>
      </c>
      <c r="Q55" s="3" t="s">
        <v>51</v>
      </c>
      <c r="R55" s="3" t="s">
        <v>48</v>
      </c>
      <c r="S55" s="3" t="s">
        <v>48</v>
      </c>
      <c r="T55" s="3" t="s">
        <v>48</v>
      </c>
      <c r="U55" s="3" t="s">
        <v>52</v>
      </c>
      <c r="V55" s="3" t="s">
        <v>49</v>
      </c>
      <c r="Y55" s="25" t="s">
        <v>50</v>
      </c>
    </row>
    <row r="56" spans="1:25">
      <c r="A56" s="131" t="s">
        <v>4</v>
      </c>
      <c r="B56" s="131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Y56" s="25" t="s">
        <v>51</v>
      </c>
    </row>
    <row r="57" spans="1:25" hidden="1">
      <c r="A57" s="3" t="s">
        <v>53</v>
      </c>
      <c r="B57" s="3"/>
      <c r="C57" s="3">
        <f>IF(C56="",0,IF(C56=C55,1,-0.25))</f>
        <v>0</v>
      </c>
      <c r="D57" s="3">
        <f t="shared" ref="D57:V57" si="2">IF(D56="",0,IF(D56=D55,1,-0.25))</f>
        <v>0</v>
      </c>
      <c r="E57" s="3">
        <f t="shared" si="2"/>
        <v>0</v>
      </c>
      <c r="F57" s="3">
        <f t="shared" si="2"/>
        <v>0</v>
      </c>
      <c r="G57" s="3">
        <f t="shared" si="2"/>
        <v>0</v>
      </c>
      <c r="H57" s="3">
        <f t="shared" si="2"/>
        <v>0</v>
      </c>
      <c r="I57" s="3">
        <f t="shared" si="2"/>
        <v>0</v>
      </c>
      <c r="J57" s="3">
        <f t="shared" si="2"/>
        <v>0</v>
      </c>
      <c r="K57" s="3">
        <f t="shared" si="2"/>
        <v>0</v>
      </c>
      <c r="L57" s="3">
        <f t="shared" si="2"/>
        <v>0</v>
      </c>
      <c r="M57" s="3">
        <f t="shared" si="2"/>
        <v>0</v>
      </c>
      <c r="N57" s="3">
        <f t="shared" si="2"/>
        <v>0</v>
      </c>
      <c r="O57" s="3">
        <f t="shared" si="2"/>
        <v>0</v>
      </c>
      <c r="P57" s="3">
        <f t="shared" si="2"/>
        <v>0</v>
      </c>
      <c r="Q57" s="3">
        <f t="shared" si="2"/>
        <v>0</v>
      </c>
      <c r="R57" s="3">
        <f t="shared" si="2"/>
        <v>0</v>
      </c>
      <c r="S57" s="3">
        <f t="shared" si="2"/>
        <v>0</v>
      </c>
      <c r="T57" s="3">
        <f t="shared" si="2"/>
        <v>0</v>
      </c>
      <c r="U57" s="3">
        <f t="shared" si="2"/>
        <v>0</v>
      </c>
      <c r="V57" s="3">
        <f t="shared" si="2"/>
        <v>0</v>
      </c>
      <c r="Y57" s="25" t="s">
        <v>48</v>
      </c>
    </row>
    <row r="58" spans="1:25">
      <c r="A58" s="3"/>
      <c r="B58" s="3"/>
      <c r="C58" s="22">
        <v>21</v>
      </c>
      <c r="D58" s="22">
        <v>22</v>
      </c>
      <c r="E58" s="22">
        <v>23</v>
      </c>
      <c r="F58" s="22">
        <v>24</v>
      </c>
      <c r="G58" s="22">
        <v>25</v>
      </c>
      <c r="H58" s="22">
        <v>26</v>
      </c>
      <c r="I58" s="22">
        <v>27</v>
      </c>
      <c r="J58" s="22">
        <v>28</v>
      </c>
      <c r="K58" s="22">
        <v>29</v>
      </c>
      <c r="L58" s="22">
        <v>30</v>
      </c>
      <c r="M58" s="22">
        <v>31</v>
      </c>
      <c r="N58" s="22">
        <v>32</v>
      </c>
      <c r="O58" s="22">
        <v>33</v>
      </c>
      <c r="P58" s="22">
        <v>34</v>
      </c>
      <c r="Q58" s="22">
        <v>35</v>
      </c>
      <c r="R58" s="3"/>
      <c r="S58" s="3"/>
      <c r="T58" s="3"/>
      <c r="U58" s="3"/>
      <c r="V58" s="3"/>
      <c r="Y58" s="25" t="s">
        <v>52</v>
      </c>
    </row>
    <row r="59" spans="1:25">
      <c r="A59" s="3"/>
      <c r="B59" s="3"/>
      <c r="C59" s="20" t="s">
        <v>60</v>
      </c>
      <c r="D59" s="20" t="s">
        <v>60</v>
      </c>
      <c r="E59" s="20" t="s">
        <v>60</v>
      </c>
      <c r="F59" s="20" t="s">
        <v>60</v>
      </c>
      <c r="G59" s="20" t="s">
        <v>60</v>
      </c>
      <c r="H59" s="20" t="s">
        <v>60</v>
      </c>
      <c r="I59" s="20" t="s">
        <v>60</v>
      </c>
      <c r="J59" s="20" t="s">
        <v>60</v>
      </c>
      <c r="K59" s="20" t="s">
        <v>60</v>
      </c>
      <c r="L59" s="20" t="s">
        <v>61</v>
      </c>
      <c r="M59" s="20" t="s">
        <v>61</v>
      </c>
      <c r="N59" s="20" t="s">
        <v>61</v>
      </c>
      <c r="O59" s="20" t="s">
        <v>61</v>
      </c>
      <c r="P59" s="20" t="s">
        <v>61</v>
      </c>
      <c r="Q59" s="20" t="s">
        <v>61</v>
      </c>
      <c r="R59" s="3"/>
      <c r="S59" s="3"/>
      <c r="T59" s="3"/>
      <c r="U59" s="3"/>
      <c r="V59" s="3"/>
      <c r="Y59" s="25" t="s">
        <v>49</v>
      </c>
    </row>
    <row r="60" spans="1:25" ht="15" customHeight="1">
      <c r="A60" s="3"/>
      <c r="B60" s="3"/>
      <c r="C60" s="3" t="s">
        <v>49</v>
      </c>
      <c r="D60" s="3" t="s">
        <v>50</v>
      </c>
      <c r="E60" s="3" t="s">
        <v>49</v>
      </c>
      <c r="F60" s="3" t="s">
        <v>52</v>
      </c>
      <c r="G60" s="3" t="s">
        <v>48</v>
      </c>
      <c r="H60" s="3" t="s">
        <v>52</v>
      </c>
      <c r="I60" s="3" t="s">
        <v>52</v>
      </c>
      <c r="J60" s="3" t="s">
        <v>52</v>
      </c>
      <c r="K60" s="3" t="s">
        <v>52</v>
      </c>
      <c r="L60" s="3" t="s">
        <v>50</v>
      </c>
      <c r="M60" s="3" t="s">
        <v>52</v>
      </c>
      <c r="N60" s="3" t="s">
        <v>49</v>
      </c>
      <c r="O60" s="3" t="s">
        <v>51</v>
      </c>
      <c r="P60" s="3" t="s">
        <v>50</v>
      </c>
      <c r="Q60" s="3" t="s">
        <v>50</v>
      </c>
      <c r="R60" s="3"/>
      <c r="S60" s="3"/>
      <c r="T60" s="3"/>
      <c r="U60" s="3"/>
      <c r="V60" s="3"/>
    </row>
    <row r="61" spans="1: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3"/>
      <c r="S61" s="3"/>
      <c r="T61" s="3"/>
      <c r="U61" s="3"/>
      <c r="V61" s="3"/>
    </row>
    <row r="62" spans="1:25" hidden="1">
      <c r="A62" s="3" t="s">
        <v>53</v>
      </c>
      <c r="B62" s="3"/>
      <c r="C62" s="3">
        <f>IF(C61="",0,IF(C61=C60,1,-0.25))</f>
        <v>0</v>
      </c>
      <c r="D62" s="3">
        <f t="shared" ref="D62:Q62" si="3">IF(D61="",0,IF(D61=D60,1,-0.25))</f>
        <v>0</v>
      </c>
      <c r="E62" s="3">
        <f t="shared" si="3"/>
        <v>0</v>
      </c>
      <c r="F62" s="3">
        <f t="shared" si="3"/>
        <v>0</v>
      </c>
      <c r="G62" s="3">
        <f t="shared" si="3"/>
        <v>0</v>
      </c>
      <c r="H62" s="3">
        <f t="shared" si="3"/>
        <v>0</v>
      </c>
      <c r="I62" s="3">
        <f t="shared" si="3"/>
        <v>0</v>
      </c>
      <c r="J62" s="3">
        <f t="shared" si="3"/>
        <v>0</v>
      </c>
      <c r="K62" s="3">
        <f t="shared" si="3"/>
        <v>0</v>
      </c>
      <c r="L62" s="3">
        <f t="shared" si="3"/>
        <v>0</v>
      </c>
      <c r="M62" s="3">
        <f t="shared" si="3"/>
        <v>0</v>
      </c>
      <c r="N62" s="3">
        <f t="shared" si="3"/>
        <v>0</v>
      </c>
      <c r="O62" s="3">
        <f t="shared" si="3"/>
        <v>0</v>
      </c>
      <c r="P62" s="3">
        <f t="shared" si="3"/>
        <v>0</v>
      </c>
      <c r="Q62" s="3">
        <f t="shared" si="3"/>
        <v>0</v>
      </c>
      <c r="R62" s="4"/>
      <c r="S62" s="4"/>
      <c r="T62" s="4"/>
      <c r="U62" s="4"/>
      <c r="V62" s="4"/>
    </row>
    <row r="63" spans="1:25">
      <c r="A63" s="9" t="s">
        <v>7</v>
      </c>
      <c r="B63" s="1"/>
      <c r="C63" s="9" t="s">
        <v>77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>
      <c r="A65" s="1" t="s">
        <v>1</v>
      </c>
      <c r="B65" s="1"/>
      <c r="C65" s="24">
        <v>1</v>
      </c>
      <c r="D65" s="24">
        <v>2</v>
      </c>
      <c r="E65" s="24">
        <v>3</v>
      </c>
      <c r="F65" s="24">
        <v>4</v>
      </c>
      <c r="G65" s="24">
        <v>5</v>
      </c>
      <c r="H65" s="24">
        <v>6</v>
      </c>
      <c r="I65" s="24">
        <v>7</v>
      </c>
      <c r="J65" s="24">
        <v>8</v>
      </c>
      <c r="K65" s="24">
        <v>9</v>
      </c>
      <c r="L65" s="24">
        <v>10</v>
      </c>
      <c r="M65" s="24">
        <v>11</v>
      </c>
      <c r="N65" s="24">
        <v>12</v>
      </c>
      <c r="O65" s="24">
        <v>13</v>
      </c>
      <c r="P65" s="24">
        <v>14</v>
      </c>
      <c r="Q65" s="24">
        <v>15</v>
      </c>
      <c r="R65" s="24">
        <v>16</v>
      </c>
      <c r="S65" s="24">
        <v>17</v>
      </c>
      <c r="T65" s="24">
        <v>18</v>
      </c>
      <c r="U65" s="1"/>
      <c r="V65" s="1"/>
    </row>
    <row r="66" spans="1:22">
      <c r="A66" s="1" t="s">
        <v>2</v>
      </c>
      <c r="B66" s="1"/>
      <c r="C66" s="18" t="s">
        <v>54</v>
      </c>
      <c r="D66" s="18" t="s">
        <v>50</v>
      </c>
      <c r="E66" s="18" t="s">
        <v>52</v>
      </c>
      <c r="F66" s="18" t="s">
        <v>55</v>
      </c>
      <c r="G66" s="18" t="s">
        <v>56</v>
      </c>
      <c r="H66" s="18" t="s">
        <v>50</v>
      </c>
      <c r="I66" s="18" t="s">
        <v>56</v>
      </c>
      <c r="J66" s="18" t="s">
        <v>50</v>
      </c>
      <c r="K66" s="18" t="s">
        <v>54</v>
      </c>
      <c r="L66" s="18" t="s">
        <v>50</v>
      </c>
      <c r="M66" s="18" t="s">
        <v>52</v>
      </c>
      <c r="N66" s="18" t="s">
        <v>50</v>
      </c>
      <c r="O66" s="18" t="s">
        <v>50</v>
      </c>
      <c r="P66" s="18" t="s">
        <v>55</v>
      </c>
      <c r="Q66" s="18" t="s">
        <v>50</v>
      </c>
      <c r="R66" s="18" t="s">
        <v>50</v>
      </c>
      <c r="S66" s="18" t="s">
        <v>54</v>
      </c>
      <c r="T66" s="18" t="s">
        <v>56</v>
      </c>
      <c r="U66" s="1"/>
      <c r="V66" s="1"/>
    </row>
    <row r="67" spans="1:22" ht="27" customHeight="1">
      <c r="A67" s="1" t="s">
        <v>3</v>
      </c>
      <c r="B67" s="1"/>
      <c r="C67" s="1" t="s">
        <v>51</v>
      </c>
      <c r="D67" s="1" t="s">
        <v>49</v>
      </c>
      <c r="E67" s="1" t="s">
        <v>51</v>
      </c>
      <c r="F67" s="1" t="s">
        <v>50</v>
      </c>
      <c r="G67" s="1" t="s">
        <v>52</v>
      </c>
      <c r="H67" s="1" t="s">
        <v>50</v>
      </c>
      <c r="I67" s="1" t="s">
        <v>48</v>
      </c>
      <c r="J67" s="1" t="s">
        <v>51</v>
      </c>
      <c r="K67" s="1">
        <v>108</v>
      </c>
      <c r="L67" s="1">
        <v>0.5</v>
      </c>
      <c r="M67" s="1">
        <v>1300</v>
      </c>
      <c r="N67" s="1">
        <v>24</v>
      </c>
      <c r="O67" s="1">
        <v>300</v>
      </c>
      <c r="P67" s="1">
        <v>11</v>
      </c>
      <c r="Q67" s="1">
        <v>0.66600000000000004</v>
      </c>
      <c r="R67" s="1" t="s">
        <v>62</v>
      </c>
      <c r="S67" s="1">
        <v>2491</v>
      </c>
      <c r="T67" s="1">
        <v>23.3</v>
      </c>
      <c r="U67" s="1"/>
      <c r="V67" s="1"/>
    </row>
    <row r="68" spans="1:22" ht="18" customHeight="1">
      <c r="A68" s="1" t="s">
        <v>4</v>
      </c>
      <c r="B68" s="1"/>
      <c r="C68" s="5"/>
      <c r="D68" s="5"/>
      <c r="E68" s="5"/>
      <c r="F68" s="5"/>
      <c r="G68" s="5"/>
      <c r="H68" s="5"/>
      <c r="I68" s="5"/>
      <c r="J68" s="5"/>
      <c r="K68" s="5">
        <v>1</v>
      </c>
      <c r="L68" s="5"/>
      <c r="M68" s="5"/>
      <c r="N68" s="5"/>
      <c r="O68" s="5"/>
      <c r="P68" s="5"/>
      <c r="Q68" s="5"/>
      <c r="R68" s="5"/>
      <c r="S68" s="5"/>
      <c r="T68" s="5"/>
      <c r="U68" s="1"/>
      <c r="V68" s="1"/>
    </row>
    <row r="69" spans="1:22">
      <c r="A69" s="1" t="s">
        <v>53</v>
      </c>
      <c r="B69" s="1"/>
      <c r="C69" s="1">
        <f t="shared" ref="C69:J69" si="4">IF(C68="",0,IF(C68=C67,1,-0.25))</f>
        <v>0</v>
      </c>
      <c r="D69" s="1">
        <f t="shared" si="4"/>
        <v>0</v>
      </c>
      <c r="E69" s="1">
        <f t="shared" si="4"/>
        <v>0</v>
      </c>
      <c r="F69" s="1">
        <f t="shared" si="4"/>
        <v>0</v>
      </c>
      <c r="G69" s="1">
        <f t="shared" si="4"/>
        <v>0</v>
      </c>
      <c r="H69" s="1">
        <f t="shared" si="4"/>
        <v>0</v>
      </c>
      <c r="I69" s="1">
        <f t="shared" si="4"/>
        <v>0</v>
      </c>
      <c r="J69" s="1">
        <f t="shared" si="4"/>
        <v>0</v>
      </c>
      <c r="K69" s="1" t="str">
        <f t="shared" ref="K69:Q69" si="5">IF(K68=K67,1,IF(K68="",0,"inc"))</f>
        <v>inc</v>
      </c>
      <c r="L69" s="1">
        <f t="shared" si="5"/>
        <v>0</v>
      </c>
      <c r="M69" s="1">
        <f t="shared" si="5"/>
        <v>0</v>
      </c>
      <c r="N69" s="1">
        <f t="shared" si="5"/>
        <v>0</v>
      </c>
      <c r="O69" s="1">
        <f t="shared" si="5"/>
        <v>0</v>
      </c>
      <c r="P69" s="1">
        <f t="shared" si="5"/>
        <v>0</v>
      </c>
      <c r="Q69" s="1">
        <f t="shared" si="5"/>
        <v>0</v>
      </c>
      <c r="R69" s="1">
        <f>IF(R68&gt;3,IF(R68&lt;4,1,IF(R68="",0,"inc")),IF(R68="",0,"inc"))</f>
        <v>0</v>
      </c>
      <c r="S69" s="1">
        <f>IF(S68=S67,1,IF(S68="",0,"inc"))</f>
        <v>0</v>
      </c>
      <c r="T69" s="1">
        <f>IF(T68=T67,1,IF(T68="",0,"inc"))</f>
        <v>0</v>
      </c>
      <c r="U69" s="1"/>
      <c r="V69" s="1"/>
    </row>
    <row r="70" spans="1:22">
      <c r="A70" s="8" t="s">
        <v>8</v>
      </c>
      <c r="B70" s="2"/>
      <c r="C70" s="8" t="s">
        <v>78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>
      <c r="A72" s="2" t="s">
        <v>1</v>
      </c>
      <c r="B72" s="2"/>
      <c r="C72" s="23">
        <v>1</v>
      </c>
      <c r="D72" s="23">
        <v>2</v>
      </c>
      <c r="E72" s="23">
        <v>3</v>
      </c>
      <c r="F72" s="23">
        <v>4</v>
      </c>
      <c r="G72" s="23">
        <v>5</v>
      </c>
      <c r="H72" s="23">
        <v>6</v>
      </c>
      <c r="I72" s="23">
        <v>7</v>
      </c>
      <c r="J72" s="23">
        <v>8</v>
      </c>
      <c r="K72" s="23">
        <v>9</v>
      </c>
      <c r="L72" s="23">
        <v>10</v>
      </c>
      <c r="M72" s="23">
        <v>11</v>
      </c>
      <c r="N72" s="23">
        <v>12</v>
      </c>
      <c r="O72" s="23">
        <v>13</v>
      </c>
      <c r="P72" s="23">
        <v>14</v>
      </c>
      <c r="Q72" s="23">
        <v>15</v>
      </c>
      <c r="R72" s="23">
        <v>16</v>
      </c>
      <c r="S72" s="23">
        <v>17</v>
      </c>
      <c r="T72" s="23">
        <v>18</v>
      </c>
      <c r="U72" s="23">
        <v>19</v>
      </c>
      <c r="V72" s="23">
        <v>20</v>
      </c>
    </row>
    <row r="73" spans="1:22">
      <c r="A73" s="2" t="s">
        <v>2</v>
      </c>
      <c r="B73" s="2"/>
      <c r="C73" s="19" t="s">
        <v>57</v>
      </c>
      <c r="D73" s="19" t="s">
        <v>57</v>
      </c>
      <c r="E73" s="19" t="s">
        <v>57</v>
      </c>
      <c r="F73" s="19" t="s">
        <v>57</v>
      </c>
      <c r="G73" s="19" t="s">
        <v>57</v>
      </c>
      <c r="H73" s="19" t="s">
        <v>57</v>
      </c>
      <c r="I73" s="19" t="s">
        <v>57</v>
      </c>
      <c r="J73" s="19" t="s">
        <v>57</v>
      </c>
      <c r="K73" s="19" t="s">
        <v>58</v>
      </c>
      <c r="L73" s="19" t="s">
        <v>58</v>
      </c>
      <c r="M73" s="19" t="s">
        <v>58</v>
      </c>
      <c r="N73" s="19" t="s">
        <v>58</v>
      </c>
      <c r="O73" s="19" t="s">
        <v>58</v>
      </c>
      <c r="P73" s="19" t="s">
        <v>58</v>
      </c>
      <c r="Q73" s="19" t="s">
        <v>58</v>
      </c>
      <c r="R73" s="19" t="s">
        <v>58</v>
      </c>
      <c r="S73" s="19" t="s">
        <v>58</v>
      </c>
      <c r="T73" s="19" t="s">
        <v>58</v>
      </c>
      <c r="U73" s="19" t="s">
        <v>58</v>
      </c>
      <c r="V73" s="19" t="s">
        <v>58</v>
      </c>
    </row>
    <row r="74" spans="1:22">
      <c r="A74" s="2" t="s">
        <v>3</v>
      </c>
      <c r="B74" s="2"/>
      <c r="C74" s="2" t="s">
        <v>52</v>
      </c>
      <c r="D74" s="2" t="s">
        <v>48</v>
      </c>
      <c r="E74" s="2" t="s">
        <v>50</v>
      </c>
      <c r="F74" s="2" t="s">
        <v>51</v>
      </c>
      <c r="G74" s="2" t="s">
        <v>48</v>
      </c>
      <c r="H74" s="2" t="s">
        <v>48</v>
      </c>
      <c r="I74" s="2" t="s">
        <v>49</v>
      </c>
      <c r="J74" s="2" t="s">
        <v>49</v>
      </c>
      <c r="K74" s="2" t="s">
        <v>52</v>
      </c>
      <c r="L74" s="2" t="s">
        <v>51</v>
      </c>
      <c r="M74" s="2" t="s">
        <v>52</v>
      </c>
      <c r="N74" s="2" t="s">
        <v>51</v>
      </c>
      <c r="O74" s="2" t="s">
        <v>48</v>
      </c>
      <c r="P74" s="2" t="s">
        <v>52</v>
      </c>
      <c r="Q74" s="2" t="s">
        <v>49</v>
      </c>
      <c r="R74" s="2" t="s">
        <v>50</v>
      </c>
      <c r="S74" s="2" t="s">
        <v>52</v>
      </c>
      <c r="T74" s="2" t="s">
        <v>49</v>
      </c>
      <c r="U74" s="2" t="s">
        <v>52</v>
      </c>
      <c r="V74" s="2" t="s">
        <v>50</v>
      </c>
    </row>
    <row r="75" spans="1:22">
      <c r="A75" s="2" t="s">
        <v>4</v>
      </c>
      <c r="B75" s="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</row>
    <row r="76" spans="1:22" hidden="1">
      <c r="A76" s="2" t="s">
        <v>53</v>
      </c>
      <c r="B76" s="2"/>
      <c r="C76" s="2">
        <f>IF(C75="",0,IF(C75=C74,1,-0.25))</f>
        <v>0</v>
      </c>
      <c r="D76" s="2">
        <f t="shared" ref="D76:V76" si="6">IF(D75="",0,IF(D75=D74,1,-0.25))</f>
        <v>0</v>
      </c>
      <c r="E76" s="2">
        <f t="shared" si="6"/>
        <v>0</v>
      </c>
      <c r="F76" s="2">
        <f t="shared" si="6"/>
        <v>0</v>
      </c>
      <c r="G76" s="2">
        <f t="shared" si="6"/>
        <v>0</v>
      </c>
      <c r="H76" s="2">
        <f t="shared" si="6"/>
        <v>0</v>
      </c>
      <c r="I76" s="2">
        <f t="shared" si="6"/>
        <v>0</v>
      </c>
      <c r="J76" s="2">
        <f t="shared" si="6"/>
        <v>0</v>
      </c>
      <c r="K76" s="2">
        <f t="shared" si="6"/>
        <v>0</v>
      </c>
      <c r="L76" s="2">
        <f t="shared" si="6"/>
        <v>0</v>
      </c>
      <c r="M76" s="2">
        <f t="shared" si="6"/>
        <v>0</v>
      </c>
      <c r="N76" s="2">
        <f t="shared" si="6"/>
        <v>0</v>
      </c>
      <c r="O76" s="2">
        <f t="shared" si="6"/>
        <v>0</v>
      </c>
      <c r="P76" s="2">
        <f t="shared" si="6"/>
        <v>0</v>
      </c>
      <c r="Q76" s="2">
        <f t="shared" si="6"/>
        <v>0</v>
      </c>
      <c r="R76" s="2">
        <f t="shared" si="6"/>
        <v>0</v>
      </c>
      <c r="S76" s="2">
        <f t="shared" si="6"/>
        <v>0</v>
      </c>
      <c r="T76" s="2">
        <f t="shared" si="6"/>
        <v>0</v>
      </c>
      <c r="U76" s="2">
        <f t="shared" si="6"/>
        <v>0</v>
      </c>
      <c r="V76" s="2">
        <f t="shared" si="6"/>
        <v>0</v>
      </c>
    </row>
    <row r="77" spans="1:22">
      <c r="A77" s="2"/>
      <c r="B77" s="2"/>
      <c r="C77" s="23">
        <v>21</v>
      </c>
      <c r="D77" s="23">
        <v>22</v>
      </c>
      <c r="E77" s="23">
        <v>23</v>
      </c>
      <c r="F77" s="23">
        <v>24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>
      <c r="A78" s="2"/>
      <c r="B78" s="2"/>
      <c r="C78" s="21" t="s">
        <v>58</v>
      </c>
      <c r="D78" s="21" t="s">
        <v>58</v>
      </c>
      <c r="E78" s="21" t="s">
        <v>58</v>
      </c>
      <c r="F78" s="21" t="s">
        <v>58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>
      <c r="A79" s="2"/>
      <c r="B79" s="2"/>
      <c r="C79" s="6" t="s">
        <v>51</v>
      </c>
      <c r="D79" s="6" t="s">
        <v>50</v>
      </c>
      <c r="E79" s="6" t="s">
        <v>48</v>
      </c>
      <c r="F79" s="6" t="s">
        <v>51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>
      <c r="A80" s="2"/>
      <c r="B80" s="2"/>
      <c r="C80" s="5"/>
      <c r="D80" s="5"/>
      <c r="E80" s="5"/>
      <c r="F80" s="5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idden="1">
      <c r="A81" s="2" t="s">
        <v>53</v>
      </c>
      <c r="B81" s="2"/>
      <c r="C81" s="2">
        <f>IF(C80="",0,IF(C80=C79,1,-0.25))</f>
        <v>0</v>
      </c>
      <c r="D81" s="2">
        <f>IF(D80="",0,IF(D80=D79,1,-0.25))</f>
        <v>0</v>
      </c>
      <c r="E81" s="2">
        <f>IF(E80="",0,IF(E80=E79,1,-0.25))</f>
        <v>0</v>
      </c>
      <c r="F81" s="2">
        <f>IF(F80="",0,IF(F80=F79,1,-0.25))</f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>
      <c r="A82" s="9" t="s">
        <v>9</v>
      </c>
      <c r="B82" s="1"/>
      <c r="C82" s="9" t="s">
        <v>77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>
      <c r="A84" s="1" t="s">
        <v>1</v>
      </c>
      <c r="B84" s="1"/>
      <c r="C84" s="24">
        <v>1</v>
      </c>
      <c r="D84" s="24">
        <v>2</v>
      </c>
      <c r="E84" s="24">
        <v>3</v>
      </c>
      <c r="F84" s="24">
        <v>4</v>
      </c>
      <c r="G84" s="24">
        <v>5</v>
      </c>
      <c r="H84" s="24">
        <v>6</v>
      </c>
      <c r="I84" s="24">
        <v>7</v>
      </c>
      <c r="J84" s="24">
        <v>8</v>
      </c>
      <c r="K84" s="24">
        <v>9</v>
      </c>
      <c r="L84" s="24">
        <v>10</v>
      </c>
      <c r="M84" s="24">
        <v>11</v>
      </c>
      <c r="N84" s="24">
        <v>12</v>
      </c>
      <c r="O84" s="24">
        <v>13</v>
      </c>
      <c r="P84" s="24">
        <v>14</v>
      </c>
      <c r="Q84" s="24">
        <v>15</v>
      </c>
      <c r="R84" s="24">
        <v>16</v>
      </c>
      <c r="S84" s="1"/>
      <c r="T84" s="1"/>
      <c r="U84" s="1"/>
      <c r="V84" s="1"/>
    </row>
    <row r="85" spans="1:22">
      <c r="A85" s="1" t="s">
        <v>2</v>
      </c>
      <c r="B85" s="1"/>
      <c r="C85" s="18" t="s">
        <v>50</v>
      </c>
      <c r="D85" s="18" t="s">
        <v>50</v>
      </c>
      <c r="E85" s="18" t="s">
        <v>50</v>
      </c>
      <c r="F85" s="18" t="s">
        <v>56</v>
      </c>
      <c r="G85" s="18" t="s">
        <v>54</v>
      </c>
      <c r="H85" s="18" t="s">
        <v>52</v>
      </c>
      <c r="I85" s="18" t="s">
        <v>56</v>
      </c>
      <c r="J85" s="18" t="s">
        <v>52</v>
      </c>
      <c r="K85" s="18" t="s">
        <v>56</v>
      </c>
      <c r="L85" s="18" t="s">
        <v>54</v>
      </c>
      <c r="M85" s="18" t="s">
        <v>50</v>
      </c>
      <c r="N85" s="18" t="s">
        <v>56</v>
      </c>
      <c r="O85" s="18" t="s">
        <v>50</v>
      </c>
      <c r="P85" s="18" t="s">
        <v>56</v>
      </c>
      <c r="Q85" s="18" t="s">
        <v>50</v>
      </c>
      <c r="R85" s="18" t="s">
        <v>50</v>
      </c>
      <c r="S85" s="1"/>
      <c r="T85" s="1"/>
      <c r="U85" s="1"/>
      <c r="V85" s="1"/>
    </row>
    <row r="86" spans="1:22">
      <c r="A86" s="1" t="s">
        <v>3</v>
      </c>
      <c r="B86" s="1"/>
      <c r="C86" s="1" t="s">
        <v>48</v>
      </c>
      <c r="D86" s="1" t="s">
        <v>50</v>
      </c>
      <c r="E86" s="1" t="s">
        <v>51</v>
      </c>
      <c r="F86" s="1" t="s">
        <v>51</v>
      </c>
      <c r="G86" s="1" t="s">
        <v>48</v>
      </c>
      <c r="H86" s="1" t="s">
        <v>52</v>
      </c>
      <c r="I86" s="1" t="s">
        <v>49</v>
      </c>
      <c r="J86" s="1" t="s">
        <v>51</v>
      </c>
      <c r="K86" s="1" t="s">
        <v>51</v>
      </c>
      <c r="L86" s="1" t="s">
        <v>48</v>
      </c>
      <c r="M86" s="1" t="s">
        <v>52</v>
      </c>
      <c r="N86" s="1" t="s">
        <v>51</v>
      </c>
      <c r="O86" s="1" t="s">
        <v>51</v>
      </c>
      <c r="P86" s="1" t="s">
        <v>52</v>
      </c>
      <c r="Q86" s="1" t="s">
        <v>49</v>
      </c>
      <c r="R86" s="1" t="s">
        <v>52</v>
      </c>
      <c r="S86" s="1"/>
      <c r="T86" s="1"/>
      <c r="U86" s="1"/>
      <c r="V86" s="1"/>
    </row>
    <row r="87" spans="1:22">
      <c r="A87" s="1" t="s">
        <v>4</v>
      </c>
      <c r="B87" s="1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1"/>
      <c r="T87" s="1"/>
      <c r="U87" s="1"/>
      <c r="V87" s="1"/>
    </row>
    <row r="88" spans="1:22" hidden="1">
      <c r="A88" s="1" t="s">
        <v>53</v>
      </c>
      <c r="B88" s="1"/>
      <c r="C88" s="1">
        <f>IF(C87="",0,IF(C87=C86,1,-0.25))</f>
        <v>0</v>
      </c>
      <c r="D88" s="1">
        <f t="shared" ref="D88:R88" si="7">IF(D87="",0,IF(D87=D86,1,-0.25))</f>
        <v>0</v>
      </c>
      <c r="E88" s="1">
        <f t="shared" si="7"/>
        <v>0</v>
      </c>
      <c r="F88" s="1">
        <f t="shared" si="7"/>
        <v>0</v>
      </c>
      <c r="G88" s="1">
        <f t="shared" si="7"/>
        <v>0</v>
      </c>
      <c r="H88" s="1">
        <f t="shared" si="7"/>
        <v>0</v>
      </c>
      <c r="I88" s="1">
        <f t="shared" si="7"/>
        <v>0</v>
      </c>
      <c r="J88" s="1">
        <f t="shared" si="7"/>
        <v>0</v>
      </c>
      <c r="K88" s="1">
        <f t="shared" si="7"/>
        <v>0</v>
      </c>
      <c r="L88" s="1">
        <f t="shared" si="7"/>
        <v>0</v>
      </c>
      <c r="M88" s="1">
        <f t="shared" si="7"/>
        <v>0</v>
      </c>
      <c r="N88" s="1">
        <f t="shared" si="7"/>
        <v>0</v>
      </c>
      <c r="O88" s="1">
        <f t="shared" si="7"/>
        <v>0</v>
      </c>
      <c r="P88" s="1">
        <f t="shared" si="7"/>
        <v>0</v>
      </c>
      <c r="Q88" s="1">
        <f t="shared" si="7"/>
        <v>0</v>
      </c>
      <c r="R88" s="1">
        <f t="shared" si="7"/>
        <v>0</v>
      </c>
      <c r="S88" s="1"/>
      <c r="T88" s="1"/>
      <c r="U88" s="1"/>
      <c r="V88" s="1"/>
    </row>
    <row r="89" spans="1:22">
      <c r="A89" s="8" t="s">
        <v>10</v>
      </c>
      <c r="B89" s="2"/>
      <c r="C89" s="8" t="s">
        <v>78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>
      <c r="A91" s="2" t="s">
        <v>1</v>
      </c>
      <c r="B91" s="2"/>
      <c r="C91" s="23">
        <v>1</v>
      </c>
      <c r="D91" s="23">
        <v>2</v>
      </c>
      <c r="E91" s="23">
        <v>3</v>
      </c>
      <c r="F91" s="23">
        <v>4</v>
      </c>
      <c r="G91" s="23">
        <v>5</v>
      </c>
      <c r="H91" s="23">
        <v>6</v>
      </c>
      <c r="I91" s="23">
        <v>7</v>
      </c>
      <c r="J91" s="23">
        <v>8</v>
      </c>
      <c r="K91" s="23">
        <v>9</v>
      </c>
      <c r="L91" s="23">
        <v>10</v>
      </c>
      <c r="M91" s="23">
        <v>11</v>
      </c>
      <c r="N91" s="23">
        <v>12</v>
      </c>
      <c r="O91" s="23">
        <v>13</v>
      </c>
      <c r="P91" s="23">
        <v>14</v>
      </c>
      <c r="Q91" s="23">
        <v>15</v>
      </c>
      <c r="R91" s="23">
        <v>16</v>
      </c>
      <c r="S91" s="23">
        <v>17</v>
      </c>
      <c r="T91" s="23">
        <v>18</v>
      </c>
      <c r="U91" s="23">
        <v>19</v>
      </c>
      <c r="V91" s="2"/>
    </row>
    <row r="92" spans="1:22">
      <c r="A92" s="2" t="s">
        <v>2</v>
      </c>
      <c r="B92" s="2"/>
      <c r="C92" s="19" t="s">
        <v>57</v>
      </c>
      <c r="D92" s="19" t="s">
        <v>57</v>
      </c>
      <c r="E92" s="19" t="s">
        <v>57</v>
      </c>
      <c r="F92" s="19" t="s">
        <v>57</v>
      </c>
      <c r="G92" s="19" t="s">
        <v>57</v>
      </c>
      <c r="H92" s="19" t="s">
        <v>57</v>
      </c>
      <c r="I92" s="19" t="s">
        <v>58</v>
      </c>
      <c r="J92" s="19" t="s">
        <v>58</v>
      </c>
      <c r="K92" s="19" t="s">
        <v>58</v>
      </c>
      <c r="L92" s="19" t="s">
        <v>58</v>
      </c>
      <c r="M92" s="19" t="s">
        <v>58</v>
      </c>
      <c r="N92" s="19" t="s">
        <v>58</v>
      </c>
      <c r="O92" s="19" t="s">
        <v>58</v>
      </c>
      <c r="P92" s="19" t="s">
        <v>58</v>
      </c>
      <c r="Q92" s="19" t="s">
        <v>58</v>
      </c>
      <c r="R92" s="19" t="s">
        <v>58</v>
      </c>
      <c r="S92" s="19" t="s">
        <v>58</v>
      </c>
      <c r="T92" s="19" t="s">
        <v>58</v>
      </c>
      <c r="U92" s="19" t="s">
        <v>58</v>
      </c>
      <c r="V92" s="2"/>
    </row>
    <row r="93" spans="1:22">
      <c r="A93" s="2" t="s">
        <v>3</v>
      </c>
      <c r="B93" s="2"/>
      <c r="C93" s="2" t="s">
        <v>50</v>
      </c>
      <c r="D93" s="2" t="s">
        <v>51</v>
      </c>
      <c r="E93" s="2" t="s">
        <v>51</v>
      </c>
      <c r="F93" s="2" t="s">
        <v>52</v>
      </c>
      <c r="G93" s="2" t="s">
        <v>52</v>
      </c>
      <c r="H93" s="2" t="s">
        <v>52</v>
      </c>
      <c r="I93" s="2" t="s">
        <v>51</v>
      </c>
      <c r="J93" s="2" t="s">
        <v>50</v>
      </c>
      <c r="K93" s="2" t="s">
        <v>49</v>
      </c>
      <c r="L93" s="2" t="s">
        <v>51</v>
      </c>
      <c r="M93" s="2" t="s">
        <v>51</v>
      </c>
      <c r="N93" s="2" t="s">
        <v>52</v>
      </c>
      <c r="O93" s="2" t="s">
        <v>48</v>
      </c>
      <c r="P93" s="2" t="s">
        <v>48</v>
      </c>
      <c r="Q93" s="2" t="s">
        <v>48</v>
      </c>
      <c r="R93" s="2" t="s">
        <v>52</v>
      </c>
      <c r="S93" s="2" t="s">
        <v>49</v>
      </c>
      <c r="T93" s="2" t="s">
        <v>48</v>
      </c>
      <c r="U93" s="2" t="s">
        <v>49</v>
      </c>
      <c r="V93" s="2"/>
    </row>
    <row r="94" spans="1:22">
      <c r="A94" s="2" t="s">
        <v>4</v>
      </c>
      <c r="B94" s="2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2"/>
    </row>
    <row r="95" spans="1:22" hidden="1">
      <c r="A95" s="2" t="s">
        <v>53</v>
      </c>
      <c r="B95" s="2"/>
      <c r="C95" s="2">
        <f>IF(C94="",0,IF(C94=C93,1,-0.25))</f>
        <v>0</v>
      </c>
      <c r="D95" s="2">
        <f t="shared" ref="D95:U95" si="8">IF(D94="",0,IF(D94=D93,1,-0.25))</f>
        <v>0</v>
      </c>
      <c r="E95" s="2">
        <f t="shared" si="8"/>
        <v>0</v>
      </c>
      <c r="F95" s="2">
        <f t="shared" si="8"/>
        <v>0</v>
      </c>
      <c r="G95" s="2">
        <f t="shared" si="8"/>
        <v>0</v>
      </c>
      <c r="H95" s="2">
        <f t="shared" si="8"/>
        <v>0</v>
      </c>
      <c r="I95" s="2">
        <f t="shared" si="8"/>
        <v>0</v>
      </c>
      <c r="J95" s="2">
        <f t="shared" si="8"/>
        <v>0</v>
      </c>
      <c r="K95" s="2">
        <f t="shared" si="8"/>
        <v>0</v>
      </c>
      <c r="L95" s="2">
        <f t="shared" si="8"/>
        <v>0</v>
      </c>
      <c r="M95" s="2">
        <f t="shared" si="8"/>
        <v>0</v>
      </c>
      <c r="N95" s="2">
        <f t="shared" si="8"/>
        <v>0</v>
      </c>
      <c r="O95" s="2">
        <f t="shared" si="8"/>
        <v>0</v>
      </c>
      <c r="P95" s="2">
        <f t="shared" si="8"/>
        <v>0</v>
      </c>
      <c r="Q95" s="2">
        <f t="shared" si="8"/>
        <v>0</v>
      </c>
      <c r="R95" s="2">
        <f t="shared" si="8"/>
        <v>0</v>
      </c>
      <c r="S95" s="2">
        <f t="shared" si="8"/>
        <v>0</v>
      </c>
      <c r="T95" s="2">
        <f t="shared" si="8"/>
        <v>0</v>
      </c>
      <c r="U95" s="2">
        <f t="shared" si="8"/>
        <v>0</v>
      </c>
      <c r="V95" s="2"/>
    </row>
    <row r="96" spans="1:22">
      <c r="A96" s="7" t="s">
        <v>11</v>
      </c>
      <c r="B96" s="7"/>
      <c r="C96" s="7" t="s">
        <v>79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>
      <c r="A98" s="3" t="s">
        <v>1</v>
      </c>
      <c r="B98" s="3"/>
      <c r="C98" s="22">
        <v>1</v>
      </c>
      <c r="D98" s="22">
        <v>2</v>
      </c>
      <c r="E98" s="22">
        <v>3</v>
      </c>
      <c r="F98" s="22">
        <v>4</v>
      </c>
      <c r="G98" s="22">
        <v>5</v>
      </c>
      <c r="H98" s="22">
        <v>6</v>
      </c>
      <c r="I98" s="22">
        <v>7</v>
      </c>
      <c r="J98" s="22">
        <v>8</v>
      </c>
      <c r="K98" s="22">
        <v>9</v>
      </c>
      <c r="L98" s="22">
        <v>10</v>
      </c>
      <c r="M98" s="22">
        <v>11</v>
      </c>
      <c r="N98" s="22">
        <v>12</v>
      </c>
      <c r="O98" s="22">
        <v>13</v>
      </c>
      <c r="P98" s="22">
        <v>14</v>
      </c>
      <c r="Q98" s="3"/>
      <c r="R98" s="3"/>
      <c r="S98" s="3"/>
      <c r="T98" s="3"/>
      <c r="U98" s="3"/>
      <c r="V98" s="3"/>
    </row>
    <row r="99" spans="1:22">
      <c r="A99" s="3" t="s">
        <v>2</v>
      </c>
      <c r="B99" s="3"/>
      <c r="C99" s="20" t="s">
        <v>59</v>
      </c>
      <c r="D99" s="20" t="s">
        <v>59</v>
      </c>
      <c r="E99" s="20" t="s">
        <v>59</v>
      </c>
      <c r="F99" s="20" t="s">
        <v>59</v>
      </c>
      <c r="G99" s="20" t="s">
        <v>59</v>
      </c>
      <c r="H99" s="20" t="s">
        <v>59</v>
      </c>
      <c r="I99" s="20" t="s">
        <v>59</v>
      </c>
      <c r="J99" s="20" t="s">
        <v>59</v>
      </c>
      <c r="K99" s="20" t="s">
        <v>59</v>
      </c>
      <c r="L99" s="20" t="s">
        <v>59</v>
      </c>
      <c r="M99" s="20" t="s">
        <v>59</v>
      </c>
      <c r="N99" s="20" t="s">
        <v>59</v>
      </c>
      <c r="O99" s="20" t="s">
        <v>59</v>
      </c>
      <c r="P99" s="20" t="s">
        <v>59</v>
      </c>
      <c r="Q99" s="3"/>
      <c r="R99" s="3"/>
      <c r="S99" s="3"/>
      <c r="T99" s="3"/>
      <c r="U99" s="3"/>
      <c r="V99" s="3"/>
    </row>
    <row r="100" spans="1:22">
      <c r="A100" s="3" t="s">
        <v>3</v>
      </c>
      <c r="B100" s="3"/>
      <c r="C100" s="3" t="s">
        <v>48</v>
      </c>
      <c r="D100" s="3" t="s">
        <v>48</v>
      </c>
      <c r="E100" s="3" t="s">
        <v>50</v>
      </c>
      <c r="F100" s="3" t="s">
        <v>48</v>
      </c>
      <c r="G100" s="3" t="s">
        <v>49</v>
      </c>
      <c r="H100" s="3" t="s">
        <v>52</v>
      </c>
      <c r="I100" s="3" t="s">
        <v>49</v>
      </c>
      <c r="J100" s="3" t="s">
        <v>49</v>
      </c>
      <c r="K100" s="3" t="s">
        <v>52</v>
      </c>
      <c r="L100" s="3" t="s">
        <v>48</v>
      </c>
      <c r="M100" s="3" t="s">
        <v>49</v>
      </c>
      <c r="N100" s="3" t="s">
        <v>48</v>
      </c>
      <c r="O100" s="3" t="s">
        <v>51</v>
      </c>
      <c r="P100" s="3" t="s">
        <v>51</v>
      </c>
      <c r="Q100" s="3"/>
      <c r="R100" s="3"/>
      <c r="S100" s="3"/>
      <c r="T100" s="3"/>
      <c r="U100" s="3"/>
      <c r="V100" s="3"/>
    </row>
    <row r="101" spans="1:22">
      <c r="A101" s="3" t="s">
        <v>4</v>
      </c>
      <c r="B101" s="3"/>
      <c r="C101" s="5" t="s">
        <v>50</v>
      </c>
      <c r="D101" s="5" t="s">
        <v>50</v>
      </c>
      <c r="E101" s="5" t="s">
        <v>48</v>
      </c>
      <c r="F101" s="5" t="s">
        <v>50</v>
      </c>
      <c r="G101" s="5" t="s">
        <v>50</v>
      </c>
      <c r="H101" s="5" t="s">
        <v>50</v>
      </c>
      <c r="I101" s="5" t="s">
        <v>50</v>
      </c>
      <c r="J101" s="5" t="s">
        <v>50</v>
      </c>
      <c r="K101" s="5" t="s">
        <v>50</v>
      </c>
      <c r="L101" s="5" t="s">
        <v>50</v>
      </c>
      <c r="M101" s="5" t="s">
        <v>50</v>
      </c>
      <c r="N101" s="5" t="s">
        <v>50</v>
      </c>
      <c r="O101" s="5" t="s">
        <v>50</v>
      </c>
      <c r="P101" s="5" t="s">
        <v>50</v>
      </c>
      <c r="Q101" s="3"/>
      <c r="R101" s="3"/>
      <c r="S101" s="3"/>
      <c r="T101" s="3"/>
      <c r="U101" s="3"/>
      <c r="V101" s="3"/>
    </row>
    <row r="102" spans="1:22" hidden="1">
      <c r="A102" s="3" t="s">
        <v>53</v>
      </c>
      <c r="B102" s="3"/>
      <c r="C102" s="3">
        <f>IF(C101="",0,IF(C101=C100,1,-0.25))</f>
        <v>-0.25</v>
      </c>
      <c r="D102" s="3">
        <f t="shared" ref="D102:P102" si="9">IF(D101="",0,IF(D101=D100,1,-0.25))</f>
        <v>-0.25</v>
      </c>
      <c r="E102" s="3">
        <f t="shared" si="9"/>
        <v>-0.25</v>
      </c>
      <c r="F102" s="3">
        <f t="shared" si="9"/>
        <v>-0.25</v>
      </c>
      <c r="G102" s="3">
        <f t="shared" si="9"/>
        <v>-0.25</v>
      </c>
      <c r="H102" s="3">
        <f t="shared" si="9"/>
        <v>-0.25</v>
      </c>
      <c r="I102" s="3">
        <f t="shared" si="9"/>
        <v>-0.25</v>
      </c>
      <c r="J102" s="3">
        <f t="shared" si="9"/>
        <v>-0.25</v>
      </c>
      <c r="K102" s="3">
        <f t="shared" si="9"/>
        <v>-0.25</v>
      </c>
      <c r="L102" s="3">
        <f t="shared" si="9"/>
        <v>-0.25</v>
      </c>
      <c r="M102" s="3">
        <f t="shared" si="9"/>
        <v>-0.25</v>
      </c>
      <c r="N102" s="3">
        <f t="shared" si="9"/>
        <v>-0.25</v>
      </c>
      <c r="O102" s="3">
        <f t="shared" si="9"/>
        <v>-0.25</v>
      </c>
      <c r="P102" s="3">
        <f t="shared" si="9"/>
        <v>-0.25</v>
      </c>
      <c r="Q102" s="3"/>
      <c r="R102" s="3"/>
      <c r="S102" s="3"/>
      <c r="T102" s="3"/>
      <c r="U102" s="3"/>
      <c r="V102" s="3"/>
    </row>
  </sheetData>
  <sheetProtection pivotTables="0"/>
  <mergeCells count="37">
    <mergeCell ref="E1:O1"/>
    <mergeCell ref="Q1:W1"/>
    <mergeCell ref="E2:H2"/>
    <mergeCell ref="I2:O2"/>
    <mergeCell ref="Q2:R2"/>
    <mergeCell ref="S2:W2"/>
    <mergeCell ref="F4:O4"/>
    <mergeCell ref="I5:J5"/>
    <mergeCell ref="I7:J7"/>
    <mergeCell ref="N7:O7"/>
    <mergeCell ref="A10:J10"/>
    <mergeCell ref="M10:V10"/>
    <mergeCell ref="H11:J13"/>
    <mergeCell ref="H19:S19"/>
    <mergeCell ref="A27:W27"/>
    <mergeCell ref="A28:E28"/>
    <mergeCell ref="G28:N28"/>
    <mergeCell ref="P28:W28"/>
    <mergeCell ref="V29:W30"/>
    <mergeCell ref="B31:C31"/>
    <mergeCell ref="J31:L31"/>
    <mergeCell ref="P31:Q31"/>
    <mergeCell ref="R31:T31"/>
    <mergeCell ref="V31:W31"/>
    <mergeCell ref="B29:C30"/>
    <mergeCell ref="D29:D30"/>
    <mergeCell ref="E29:E30"/>
    <mergeCell ref="R29:T30"/>
    <mergeCell ref="A29:A30"/>
    <mergeCell ref="G29:I29"/>
    <mergeCell ref="J29:M29"/>
    <mergeCell ref="U29:U30"/>
    <mergeCell ref="A37:B37"/>
    <mergeCell ref="A44:B44"/>
    <mergeCell ref="A56:B56"/>
    <mergeCell ref="N29:N30"/>
    <mergeCell ref="P29:Q30"/>
  </mergeCells>
  <dataValidations count="1">
    <dataValidation type="list" allowBlank="1" showInputMessage="1" showErrorMessage="1" sqref="C37:V37 C44:V44 C49:F49 C56:V56 C61:Q61 C68:J68 C75:V75 C80:F80 C87:R87 C94:U94 C101:P101">
      <formula1>$Y$54:$Y$59</formula1>
    </dataValidation>
  </dataValidations>
  <pageMargins left="0.25" right="0.25" top="0.75" bottom="0.75" header="0.3" footer="0.3"/>
  <pageSetup orientation="landscape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3" name="Button 1">
              <controlPr defaultSize="0" print="0" autoFill="0" autoPict="0" macro="[0]!Scorereport">
                <anchor moveWithCells="1" sizeWithCells="1">
                  <from>
                    <xdr:col>0</xdr:col>
                    <xdr:colOff>101600</xdr:colOff>
                    <xdr:row>4</xdr:row>
                    <xdr:rowOff>190500</xdr:rowOff>
                  </from>
                  <to>
                    <xdr:col>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/>
  <dimension ref="A1:IV102"/>
  <sheetViews>
    <sheetView tabSelected="1" workbookViewId="0">
      <selection activeCell="L11" sqref="L11"/>
    </sheetView>
  </sheetViews>
  <sheetFormatPr baseColWidth="10" defaultColWidth="5.1640625" defaultRowHeight="15" x14ac:dyDescent="0"/>
  <cols>
    <col min="1" max="1" width="5.5" customWidth="1"/>
    <col min="3" max="3" width="5.1640625" customWidth="1"/>
    <col min="4" max="4" width="5.6640625" customWidth="1"/>
    <col min="5" max="5" width="6.1640625" customWidth="1"/>
    <col min="6" max="6" width="4.6640625" customWidth="1"/>
    <col min="7" max="7" width="6.6640625" customWidth="1"/>
    <col min="8" max="8" width="6.1640625" customWidth="1"/>
    <col min="10" max="10" width="4.83203125" customWidth="1"/>
    <col min="11" max="11" width="4.1640625" customWidth="1"/>
    <col min="12" max="12" width="5.1640625" customWidth="1"/>
    <col min="13" max="13" width="7.1640625" customWidth="1"/>
    <col min="14" max="14" width="5.83203125" customWidth="1"/>
    <col min="15" max="15" width="4" customWidth="1"/>
    <col min="17" max="17" width="5.1640625" customWidth="1"/>
    <col min="18" max="18" width="4.5" customWidth="1"/>
    <col min="19" max="19" width="4.6640625" customWidth="1"/>
    <col min="21" max="21" width="5.1640625" customWidth="1"/>
    <col min="22" max="22" width="4.6640625" customWidth="1"/>
    <col min="23" max="23" width="7.5" customWidth="1"/>
    <col min="24" max="24" width="11.1640625" hidden="1" customWidth="1"/>
    <col min="25" max="26" width="5.1640625" hidden="1" customWidth="1"/>
    <col min="30" max="30" width="7.1640625" customWidth="1"/>
    <col min="31" max="31" width="7.5" customWidth="1"/>
  </cols>
  <sheetData>
    <row r="1" spans="1:23" ht="19" thickBot="1">
      <c r="A1" s="25"/>
      <c r="B1" s="25"/>
      <c r="C1" s="25"/>
      <c r="E1" s="185" t="s">
        <v>83</v>
      </c>
      <c r="F1" s="185"/>
      <c r="G1" s="185"/>
      <c r="H1" s="185"/>
      <c r="I1" s="185"/>
      <c r="J1" s="185"/>
      <c r="K1" s="185"/>
      <c r="L1" s="185"/>
      <c r="M1" s="185"/>
      <c r="N1" s="185"/>
      <c r="O1" s="185"/>
      <c r="Q1" s="186" t="s">
        <v>24</v>
      </c>
      <c r="R1" s="187"/>
      <c r="S1" s="187"/>
      <c r="T1" s="187"/>
      <c r="U1" s="187"/>
      <c r="V1" s="187"/>
      <c r="W1" s="188"/>
    </row>
    <row r="2" spans="1:23" ht="18">
      <c r="A2" s="25"/>
      <c r="B2" s="25"/>
      <c r="C2" s="25"/>
      <c r="E2" s="189" t="s">
        <v>145</v>
      </c>
      <c r="F2" s="189"/>
      <c r="G2" s="189"/>
      <c r="H2" s="189"/>
      <c r="I2" s="190" t="s">
        <v>144</v>
      </c>
      <c r="J2" s="190"/>
      <c r="K2" s="190"/>
      <c r="L2" s="190"/>
      <c r="M2" s="190"/>
      <c r="N2" s="190"/>
      <c r="O2" s="190"/>
      <c r="Q2" s="191" t="s">
        <v>80</v>
      </c>
      <c r="R2" s="192"/>
      <c r="S2" s="193" t="s">
        <v>81</v>
      </c>
      <c r="T2" s="194"/>
      <c r="U2" s="194"/>
      <c r="V2" s="194"/>
      <c r="W2" s="195"/>
    </row>
    <row r="3" spans="1:23" ht="16" thickBot="1">
      <c r="F3" s="58"/>
      <c r="G3" s="58"/>
      <c r="H3" s="58"/>
      <c r="I3" s="58"/>
      <c r="Q3" s="29" t="s">
        <v>25</v>
      </c>
      <c r="R3" s="30"/>
      <c r="S3" s="27" t="s">
        <v>31</v>
      </c>
      <c r="T3" s="28"/>
      <c r="U3" s="28"/>
      <c r="V3" s="28"/>
      <c r="W3" s="31"/>
    </row>
    <row r="4" spans="1:23" ht="16" thickBot="1">
      <c r="F4" s="172" t="s">
        <v>85</v>
      </c>
      <c r="G4" s="173"/>
      <c r="H4" s="173"/>
      <c r="I4" s="173"/>
      <c r="J4" s="173"/>
      <c r="K4" s="173"/>
      <c r="L4" s="173"/>
      <c r="M4" s="173"/>
      <c r="N4" s="173"/>
      <c r="O4" s="174"/>
      <c r="Q4" s="29" t="s">
        <v>26</v>
      </c>
      <c r="R4" s="30"/>
      <c r="S4" s="27" t="s">
        <v>30</v>
      </c>
      <c r="T4" s="28"/>
      <c r="U4" s="28"/>
      <c r="V4" s="28"/>
      <c r="W4" s="31"/>
    </row>
    <row r="5" spans="1:23">
      <c r="F5" s="59" t="s">
        <v>12</v>
      </c>
      <c r="G5" s="60"/>
      <c r="H5" s="60"/>
      <c r="I5" s="175">
        <f>E12</f>
        <v>360</v>
      </c>
      <c r="J5" s="175"/>
      <c r="K5" s="60" t="s">
        <v>15</v>
      </c>
      <c r="L5" s="61"/>
      <c r="M5" s="60"/>
      <c r="N5" s="60"/>
      <c r="O5" s="62">
        <f>Q12</f>
        <v>420</v>
      </c>
      <c r="Q5" s="29" t="s">
        <v>27</v>
      </c>
      <c r="R5" s="30"/>
      <c r="S5" s="27" t="s">
        <v>32</v>
      </c>
      <c r="T5" s="28"/>
      <c r="U5" s="28"/>
      <c r="V5" s="28"/>
      <c r="W5" s="31"/>
    </row>
    <row r="6" spans="1:23" ht="16" thickBot="1">
      <c r="F6" s="66"/>
      <c r="G6" s="61"/>
      <c r="H6" s="61"/>
      <c r="I6" s="61"/>
      <c r="J6" s="61"/>
      <c r="K6" s="60" t="s">
        <v>14</v>
      </c>
      <c r="L6" s="60"/>
      <c r="M6" s="60"/>
      <c r="N6" s="61"/>
      <c r="O6" s="62">
        <f>L21</f>
        <v>470</v>
      </c>
      <c r="Q6" s="29" t="s">
        <v>28</v>
      </c>
      <c r="R6" s="30"/>
      <c r="S6" s="27" t="s">
        <v>33</v>
      </c>
      <c r="T6" s="28"/>
      <c r="U6" s="28"/>
      <c r="V6" s="28"/>
      <c r="W6" s="31"/>
    </row>
    <row r="7" spans="1:23" ht="16" thickBot="1">
      <c r="F7" s="63" t="s">
        <v>16</v>
      </c>
      <c r="G7" s="64"/>
      <c r="H7" s="64"/>
      <c r="I7" s="176">
        <f>I5+O5</f>
        <v>780</v>
      </c>
      <c r="J7" s="176"/>
      <c r="K7" s="65" t="s">
        <v>17</v>
      </c>
      <c r="L7" s="64"/>
      <c r="M7" s="64"/>
      <c r="N7" s="177">
        <f>I5+O5+O6</f>
        <v>1250</v>
      </c>
      <c r="O7" s="178"/>
      <c r="Q7" s="32" t="s">
        <v>29</v>
      </c>
      <c r="R7" s="33"/>
      <c r="S7" s="34" t="s">
        <v>34</v>
      </c>
      <c r="T7" s="35"/>
      <c r="U7" s="35"/>
      <c r="V7" s="35"/>
      <c r="W7" s="36"/>
    </row>
    <row r="9" spans="1:23" ht="6" customHeight="1" thickBot="1"/>
    <row r="10" spans="1:23" ht="16" thickBot="1">
      <c r="A10" s="179" t="s">
        <v>12</v>
      </c>
      <c r="B10" s="180"/>
      <c r="C10" s="180"/>
      <c r="D10" s="180"/>
      <c r="E10" s="180"/>
      <c r="F10" s="180"/>
      <c r="G10" s="180"/>
      <c r="H10" s="180"/>
      <c r="I10" s="180"/>
      <c r="J10" s="181"/>
      <c r="K10" s="25"/>
      <c r="L10" s="25"/>
      <c r="M10" s="182" t="s">
        <v>82</v>
      </c>
      <c r="N10" s="183"/>
      <c r="O10" s="183"/>
      <c r="P10" s="183"/>
      <c r="Q10" s="183"/>
      <c r="R10" s="183"/>
      <c r="S10" s="183"/>
      <c r="T10" s="183"/>
      <c r="U10" s="183"/>
      <c r="V10" s="184"/>
    </row>
    <row r="11" spans="1:23" ht="15.75" customHeight="1">
      <c r="A11" s="102"/>
      <c r="B11" s="103" t="s">
        <v>35</v>
      </c>
      <c r="C11" s="103" t="s">
        <v>36</v>
      </c>
      <c r="D11" s="103"/>
      <c r="E11" s="103" t="s">
        <v>18</v>
      </c>
      <c r="F11" s="103"/>
      <c r="G11" s="103"/>
      <c r="H11" s="155" t="s">
        <v>42</v>
      </c>
      <c r="I11" s="155"/>
      <c r="J11" s="156"/>
      <c r="K11" s="25"/>
      <c r="L11" s="25"/>
      <c r="M11" s="39"/>
      <c r="N11" s="40" t="s">
        <v>35</v>
      </c>
      <c r="O11" s="40" t="s">
        <v>36</v>
      </c>
      <c r="P11" s="40"/>
      <c r="Q11" s="40" t="s">
        <v>82</v>
      </c>
      <c r="R11" s="40"/>
      <c r="S11" s="40"/>
      <c r="T11" s="40"/>
      <c r="U11" s="40"/>
      <c r="V11" s="41"/>
    </row>
    <row r="12" spans="1:23">
      <c r="A12" s="102"/>
      <c r="B12" s="103">
        <f>SUM(C38:V38,C69:T69,C95:R95)</f>
        <v>14.75</v>
      </c>
      <c r="C12" s="103">
        <v>9</v>
      </c>
      <c r="D12" s="103"/>
      <c r="E12" s="103">
        <f>VLOOKUP(C12,Tables!A3:D75,3,TRUE)</f>
        <v>360</v>
      </c>
      <c r="F12" s="103"/>
      <c r="G12" s="103"/>
      <c r="H12" s="157"/>
      <c r="I12" s="157"/>
      <c r="J12" s="158"/>
      <c r="K12" s="25"/>
      <c r="L12" s="25"/>
      <c r="M12" s="39"/>
      <c r="N12" s="40">
        <f>SUM(C45:V45,C50:F50,C76:V76,C81:F81,C88:U88)</f>
        <v>10.25</v>
      </c>
      <c r="O12" s="40">
        <v>17</v>
      </c>
      <c r="P12" s="40"/>
      <c r="Q12" s="40">
        <f>VLOOKUP(O12,Tables!A3:D75,2,TRUE)</f>
        <v>420</v>
      </c>
      <c r="R12" s="40"/>
      <c r="S12" s="40"/>
      <c r="T12" s="40"/>
      <c r="U12" s="40"/>
      <c r="V12" s="41"/>
    </row>
    <row r="13" spans="1:23">
      <c r="A13" s="102" t="s">
        <v>37</v>
      </c>
      <c r="B13" s="103"/>
      <c r="C13" s="103" t="s">
        <v>38</v>
      </c>
      <c r="D13" s="104" t="s">
        <v>39</v>
      </c>
      <c r="E13" s="103"/>
      <c r="F13" s="103" t="s">
        <v>40</v>
      </c>
      <c r="G13" s="103"/>
      <c r="H13" s="157"/>
      <c r="I13" s="157"/>
      <c r="J13" s="158"/>
      <c r="K13" s="25"/>
      <c r="L13" s="25"/>
      <c r="M13" s="112" t="s">
        <v>37</v>
      </c>
      <c r="N13" s="113"/>
      <c r="O13" s="113"/>
      <c r="P13" s="113" t="s">
        <v>38</v>
      </c>
      <c r="Q13" s="113" t="s">
        <v>39</v>
      </c>
      <c r="R13" s="113"/>
      <c r="S13" s="113" t="s">
        <v>40</v>
      </c>
      <c r="T13" s="113"/>
      <c r="U13" s="113" t="s">
        <v>41</v>
      </c>
      <c r="V13" s="114"/>
    </row>
    <row r="14" spans="1:23">
      <c r="A14" s="105" t="s">
        <v>19</v>
      </c>
      <c r="B14" s="106"/>
      <c r="C14" s="106">
        <f>COUNTIF($C$35:$V$35,"g")+COUNTIF($C$66:$T$66,"g")+COUNTIF($C$85:$R$85,"g")</f>
        <v>12</v>
      </c>
      <c r="D14" s="106">
        <v>4</v>
      </c>
      <c r="E14" s="106"/>
      <c r="F14" s="106">
        <v>5</v>
      </c>
      <c r="G14" s="106"/>
      <c r="H14" s="107">
        <f>D14/(F14+D14)</f>
        <v>0.44444444444444442</v>
      </c>
      <c r="I14" s="103"/>
      <c r="J14" s="108"/>
      <c r="K14" s="25"/>
      <c r="L14" s="25"/>
      <c r="M14" s="42" t="s">
        <v>44</v>
      </c>
      <c r="N14" s="37"/>
      <c r="O14" s="37"/>
      <c r="P14" s="37">
        <f>COUNTIF($C$42:$V$42,"sc")+COUNTIF($C$47:$F$47,"sc")+COUNTIF($C$73:$V$73,"sc")+COUNTIF($C$78:$F$78,"sc")+COUNTIF($C$92:$U92,"sc")</f>
        <v>19</v>
      </c>
      <c r="Q14" s="37">
        <v>12</v>
      </c>
      <c r="R14" s="37"/>
      <c r="S14" s="37">
        <v>7</v>
      </c>
      <c r="T14" s="37"/>
      <c r="U14" s="38">
        <f>Q14/(S14+Q14)</f>
        <v>0.63157894736842102</v>
      </c>
      <c r="V14" s="43"/>
    </row>
    <row r="15" spans="1:23">
      <c r="A15" s="105" t="s">
        <v>20</v>
      </c>
      <c r="B15" s="106"/>
      <c r="C15" s="106">
        <f>COUNTIF($C$35:$V$35,"n")+COUNTIF($C$66:$T$66,"n")+COUNTIF($C$85:$R$85,"n")</f>
        <v>7</v>
      </c>
      <c r="D15" s="106">
        <v>4</v>
      </c>
      <c r="E15" s="106"/>
      <c r="F15" s="106">
        <v>1</v>
      </c>
      <c r="G15" s="106"/>
      <c r="H15" s="107">
        <f>D15/(F15+D15)</f>
        <v>0.8</v>
      </c>
      <c r="I15" s="103"/>
      <c r="J15" s="108"/>
      <c r="K15" s="25"/>
      <c r="L15" s="25"/>
      <c r="M15" s="42" t="s">
        <v>43</v>
      </c>
      <c r="N15" s="37"/>
      <c r="O15" s="37"/>
      <c r="P15" s="37">
        <f>COUNTIF($C$42:$V$42,"pb")+COUNTIF($C$47:$F$47,"pb")+COUNTIF($C$73:$V$73,"pb")+COUNTIF($C$78:$F$78,"pb")+COUNTIF($C$92:$U92,"pb")</f>
        <v>48</v>
      </c>
      <c r="Q15" s="37">
        <v>23</v>
      </c>
      <c r="R15" s="37"/>
      <c r="S15" s="37">
        <v>12</v>
      </c>
      <c r="T15" s="37"/>
      <c r="U15" s="38">
        <f>Q15/(S15+Q15)</f>
        <v>0.65714285714285714</v>
      </c>
      <c r="V15" s="43"/>
    </row>
    <row r="16" spans="1:23">
      <c r="A16" s="105" t="s">
        <v>21</v>
      </c>
      <c r="B16" s="106"/>
      <c r="C16" s="106">
        <f>COUNTIF($C$35:$V$35,"l")+COUNTIF($C$66:$T$66,"l")+COUNTIF($C$85:$R$85,"l")</f>
        <v>3</v>
      </c>
      <c r="D16" s="106">
        <v>2</v>
      </c>
      <c r="E16" s="106"/>
      <c r="F16" s="106">
        <v>0</v>
      </c>
      <c r="G16" s="106"/>
      <c r="H16" s="107">
        <f>D16/(F16+D16)</f>
        <v>1</v>
      </c>
      <c r="I16" s="103"/>
      <c r="J16" s="108"/>
      <c r="K16" s="25"/>
      <c r="L16" s="25"/>
      <c r="M16" s="39"/>
      <c r="N16" s="40"/>
      <c r="O16" s="40"/>
      <c r="P16" s="40"/>
      <c r="Q16" s="40"/>
      <c r="R16" s="40"/>
      <c r="S16" s="40"/>
      <c r="T16" s="40"/>
      <c r="U16" s="40"/>
      <c r="V16" s="41"/>
    </row>
    <row r="17" spans="1:23">
      <c r="A17" s="105" t="s">
        <v>22</v>
      </c>
      <c r="B17" s="106"/>
      <c r="C17" s="106">
        <f>COUNTIF($C$35:$V$35,"a")+COUNTIF($C$66:$T$66,"a")+COUNTIF($C$85:$R$85,"a")</f>
        <v>26</v>
      </c>
      <c r="D17" s="106">
        <v>13</v>
      </c>
      <c r="E17" s="106"/>
      <c r="F17" s="106">
        <v>7</v>
      </c>
      <c r="G17" s="106"/>
      <c r="H17" s="107">
        <f>D17/(F17+D17)</f>
        <v>0.65</v>
      </c>
      <c r="I17" s="103"/>
      <c r="J17" s="108"/>
      <c r="K17" s="25"/>
      <c r="L17" s="25"/>
      <c r="M17" s="39"/>
      <c r="N17" s="40"/>
      <c r="O17" s="40"/>
      <c r="P17" s="40"/>
      <c r="Q17" s="40"/>
      <c r="R17" s="40"/>
      <c r="S17" s="40"/>
      <c r="T17" s="40"/>
      <c r="U17" s="40"/>
      <c r="V17" s="41"/>
    </row>
    <row r="18" spans="1:23" ht="16" thickBot="1">
      <c r="A18" s="109" t="s">
        <v>23</v>
      </c>
      <c r="B18" s="110"/>
      <c r="C18" s="110">
        <f>COUNTIF($C$35:$V$35,"d")+COUNTIF($C$66:$T$66,"d")+COUNTIF($C$85:$R$85,"d")</f>
        <v>6</v>
      </c>
      <c r="D18" s="110">
        <v>4</v>
      </c>
      <c r="E18" s="110"/>
      <c r="F18" s="110">
        <v>1</v>
      </c>
      <c r="G18" s="110"/>
      <c r="H18" s="111">
        <f>D18/(F18+D18)</f>
        <v>0.8</v>
      </c>
      <c r="I18" s="103"/>
      <c r="J18" s="108"/>
      <c r="K18" s="25"/>
      <c r="L18" s="25"/>
      <c r="M18" s="39"/>
      <c r="N18" s="40"/>
      <c r="O18" s="40"/>
      <c r="P18" s="40"/>
      <c r="Q18" s="40"/>
      <c r="R18" s="40"/>
      <c r="S18" s="40"/>
      <c r="T18" s="44"/>
      <c r="U18" s="44"/>
      <c r="V18" s="45"/>
    </row>
    <row r="19" spans="1:23" ht="16" thickBot="1">
      <c r="H19" s="159" t="s">
        <v>14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1"/>
    </row>
    <row r="20" spans="1:23">
      <c r="H20" s="46"/>
      <c r="I20" s="47" t="s">
        <v>35</v>
      </c>
      <c r="J20" s="47" t="s">
        <v>36</v>
      </c>
      <c r="K20" s="47"/>
      <c r="L20" s="47" t="s">
        <v>63</v>
      </c>
      <c r="M20" s="47"/>
      <c r="N20" s="47"/>
      <c r="O20" s="47" t="s">
        <v>76</v>
      </c>
      <c r="P20" s="47"/>
      <c r="Q20" s="47"/>
      <c r="R20" s="47"/>
      <c r="S20" s="48"/>
    </row>
    <row r="21" spans="1:23">
      <c r="H21" s="46"/>
      <c r="I21" s="47">
        <f>SUM(C57:V57,C62:Q62,C102:P102)</f>
        <v>25.75</v>
      </c>
      <c r="J21" s="47">
        <v>25</v>
      </c>
      <c r="K21" s="47"/>
      <c r="L21" s="47">
        <f>INDEX(Tables!F12:R74, MATCH(J21,Tables!F12:F74,0), MATCH(O21,Tables!F12:R12,0))</f>
        <v>470</v>
      </c>
      <c r="M21" s="47"/>
      <c r="N21" s="47"/>
      <c r="O21" s="49">
        <v>6</v>
      </c>
      <c r="P21" s="47"/>
      <c r="Q21" s="47"/>
      <c r="R21" s="47"/>
      <c r="S21" s="48"/>
    </row>
    <row r="22" spans="1:23">
      <c r="H22" s="115" t="s">
        <v>37</v>
      </c>
      <c r="I22" s="116"/>
      <c r="J22" s="116"/>
      <c r="K22" s="116"/>
      <c r="L22" s="116"/>
      <c r="M22" s="117" t="s">
        <v>38</v>
      </c>
      <c r="N22" s="116" t="s">
        <v>39</v>
      </c>
      <c r="O22" s="116"/>
      <c r="P22" s="116" t="s">
        <v>40</v>
      </c>
      <c r="Q22" s="116"/>
      <c r="R22" s="116" t="s">
        <v>41</v>
      </c>
      <c r="S22" s="118"/>
    </row>
    <row r="23" spans="1:23">
      <c r="H23" s="52" t="s">
        <v>45</v>
      </c>
      <c r="I23" s="50"/>
      <c r="J23" s="50"/>
      <c r="K23" s="50"/>
      <c r="L23" s="50"/>
      <c r="M23" s="50">
        <f>COUNTIF($C$54:$V$54,"is")+COUNTIF($C$59:$Q$59,"is")+COUNTIF($C$99:$P$99,"is")</f>
        <v>25</v>
      </c>
      <c r="N23" s="50">
        <v>17</v>
      </c>
      <c r="O23" s="50"/>
      <c r="P23" s="50">
        <v>8</v>
      </c>
      <c r="Q23" s="50"/>
      <c r="R23" s="51">
        <f>N23/(P23+N23)</f>
        <v>0.68</v>
      </c>
      <c r="S23" s="53"/>
    </row>
    <row r="24" spans="1:23">
      <c r="H24" s="52" t="s">
        <v>46</v>
      </c>
      <c r="I24" s="50"/>
      <c r="J24" s="50"/>
      <c r="K24" s="50"/>
      <c r="L24" s="50"/>
      <c r="M24" s="50">
        <f>COUNTIF($C$54:$V$54,"ip")+COUNTIF($C$59:$Q$59,"ip")+COUNTIF($C$99:$P$99,"ip")</f>
        <v>6</v>
      </c>
      <c r="N24" s="50">
        <v>0</v>
      </c>
      <c r="O24" s="50"/>
      <c r="P24" s="50">
        <v>0</v>
      </c>
      <c r="Q24" s="50"/>
      <c r="R24" s="51" t="e">
        <f>N24/(P24+N24)</f>
        <v>#DIV/0!</v>
      </c>
      <c r="S24" s="53"/>
    </row>
    <row r="25" spans="1:23" ht="16" thickBot="1">
      <c r="H25" s="54" t="s">
        <v>47</v>
      </c>
      <c r="I25" s="55"/>
      <c r="J25" s="55"/>
      <c r="K25" s="55"/>
      <c r="L25" s="55"/>
      <c r="M25" s="55">
        <f>COUNTIF($C$54:$V$54,"ise")+COUNTIF($C$59:$Q$59,"ise")+COUNTIF($C$99:$P$99,"ise")</f>
        <v>18</v>
      </c>
      <c r="N25" s="55">
        <v>9</v>
      </c>
      <c r="O25" s="55"/>
      <c r="P25" s="55">
        <v>9</v>
      </c>
      <c r="Q25" s="55"/>
      <c r="R25" s="56">
        <f>N25/(P25+N25)</f>
        <v>0.5</v>
      </c>
      <c r="S25" s="57"/>
    </row>
    <row r="26" spans="1:23" ht="4.5" customHeight="1"/>
    <row r="27" spans="1:23" ht="16" thickBot="1">
      <c r="A27" s="162" t="s">
        <v>86</v>
      </c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spans="1:23" ht="15.75" customHeight="1" thickBot="1">
      <c r="A28" s="163" t="s">
        <v>12</v>
      </c>
      <c r="B28" s="164"/>
      <c r="C28" s="164"/>
      <c r="D28" s="164"/>
      <c r="E28" s="165"/>
      <c r="F28" s="67"/>
      <c r="G28" s="166" t="s">
        <v>82</v>
      </c>
      <c r="H28" s="167"/>
      <c r="I28" s="167"/>
      <c r="J28" s="167"/>
      <c r="K28" s="167"/>
      <c r="L28" s="167"/>
      <c r="M28" s="167"/>
      <c r="N28" s="168"/>
      <c r="O28" s="68"/>
      <c r="P28" s="169" t="s">
        <v>14</v>
      </c>
      <c r="Q28" s="170"/>
      <c r="R28" s="170"/>
      <c r="S28" s="170"/>
      <c r="T28" s="170"/>
      <c r="U28" s="170"/>
      <c r="V28" s="170"/>
      <c r="W28" s="171"/>
    </row>
    <row r="29" spans="1:23" ht="15.75" customHeight="1">
      <c r="A29" s="138" t="s">
        <v>87</v>
      </c>
      <c r="B29" s="151" t="s">
        <v>88</v>
      </c>
      <c r="C29" s="151"/>
      <c r="D29" s="151" t="s">
        <v>89</v>
      </c>
      <c r="E29" s="153" t="s">
        <v>70</v>
      </c>
      <c r="F29" s="67"/>
      <c r="G29" s="140" t="s">
        <v>90</v>
      </c>
      <c r="H29" s="141"/>
      <c r="I29" s="141"/>
      <c r="J29" s="141" t="s">
        <v>43</v>
      </c>
      <c r="K29" s="141"/>
      <c r="L29" s="141"/>
      <c r="M29" s="141"/>
      <c r="N29" s="132" t="s">
        <v>70</v>
      </c>
      <c r="O29" s="68"/>
      <c r="P29" s="134" t="s">
        <v>91</v>
      </c>
      <c r="Q29" s="135"/>
      <c r="R29" s="135" t="s">
        <v>92</v>
      </c>
      <c r="S29" s="135"/>
      <c r="T29" s="135"/>
      <c r="U29" s="135" t="s">
        <v>93</v>
      </c>
      <c r="V29" s="135" t="s">
        <v>70</v>
      </c>
      <c r="W29" s="142"/>
    </row>
    <row r="30" spans="1:23" ht="14.25" customHeight="1">
      <c r="A30" s="139"/>
      <c r="B30" s="152"/>
      <c r="C30" s="152"/>
      <c r="D30" s="152"/>
      <c r="E30" s="154"/>
      <c r="F30" s="67"/>
      <c r="G30" s="72" t="s">
        <v>94</v>
      </c>
      <c r="H30" s="69" t="s">
        <v>95</v>
      </c>
      <c r="I30" s="69" t="s">
        <v>96</v>
      </c>
      <c r="J30" s="70" t="s">
        <v>97</v>
      </c>
      <c r="K30" s="69"/>
      <c r="L30" s="69"/>
      <c r="M30" s="69" t="s">
        <v>98</v>
      </c>
      <c r="N30" s="133"/>
      <c r="O30" s="68"/>
      <c r="P30" s="136"/>
      <c r="Q30" s="137"/>
      <c r="R30" s="137"/>
      <c r="S30" s="137"/>
      <c r="T30" s="137"/>
      <c r="U30" s="137"/>
      <c r="V30" s="137"/>
      <c r="W30" s="143"/>
    </row>
    <row r="31" spans="1:23" ht="44.25" customHeight="1" thickBot="1">
      <c r="A31" s="75">
        <f>VLOOKUP(I5,Tables!H1:L9,4,TRUE)</f>
        <v>9</v>
      </c>
      <c r="B31" s="144" t="str">
        <f>VLOOKUP(I5,Tables!H1:L9,3,TRUE)</f>
        <v>4 MC, 5 GI</v>
      </c>
      <c r="C31" s="145"/>
      <c r="D31" s="76">
        <f>VLOOKUP(I5,Tables!H1:L9,2,TRUE)</f>
        <v>11</v>
      </c>
      <c r="E31" s="71">
        <f>VLOOKUP(I5,Tables!H1:L9,5,TRUE)</f>
        <v>530</v>
      </c>
      <c r="F31" s="67"/>
      <c r="G31" s="77">
        <f>VLOOKUP(Z48,Tables!A79:E87,2,TRUE)</f>
        <v>6</v>
      </c>
      <c r="H31" s="78">
        <f>VLOOKUP(Z48,Tables!A79:E87,3,TRUE)</f>
        <v>4</v>
      </c>
      <c r="I31" s="78">
        <f>VLOOKUP(Z48,Tables!A79:E87,4,TRUE)</f>
        <v>4</v>
      </c>
      <c r="J31" s="146" t="str">
        <f>VLOOKUP(Y48,Tables!G79:K87,3,TRUE)</f>
        <v>26 of 48</v>
      </c>
      <c r="K31" s="146"/>
      <c r="L31" s="146"/>
      <c r="M31" s="73">
        <f>VLOOKUP(Y48,Tables!G79:K87,4,TRUE)</f>
        <v>0.54</v>
      </c>
      <c r="N31" s="74">
        <f>VLOOKUP(Y48,Tables!G79:K87,5,TRUE)</f>
        <v>530</v>
      </c>
      <c r="O31" s="68"/>
      <c r="P31" s="147">
        <f>VLOOKUP(O6,Tables!M79:Q89,2,TRUE)</f>
        <v>8</v>
      </c>
      <c r="Q31" s="148"/>
      <c r="R31" s="148" t="str">
        <f>VLOOKUP(O6,Tables!M79:Q89,3,TRUE)</f>
        <v>12-25, 5 of #30-35</v>
      </c>
      <c r="S31" s="148"/>
      <c r="T31" s="148"/>
      <c r="U31" s="79">
        <f>VLOOKUP(O6,Tables!M79:Q89,4,TRUE)</f>
        <v>11</v>
      </c>
      <c r="V31" s="149">
        <f>VLOOKUP(O6,Tables!M79:Q89,5,TRUE)</f>
        <v>610</v>
      </c>
      <c r="W31" s="150"/>
    </row>
    <row r="32" spans="1:23">
      <c r="A32" s="9" t="s">
        <v>0</v>
      </c>
      <c r="B32" s="1"/>
      <c r="C32" s="9" t="s">
        <v>77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56">
      <c r="A34" s="1" t="s">
        <v>1</v>
      </c>
      <c r="B34" s="1"/>
      <c r="C34" s="24">
        <v>1</v>
      </c>
      <c r="D34" s="24">
        <v>2</v>
      </c>
      <c r="E34" s="24">
        <v>3</v>
      </c>
      <c r="F34" s="24">
        <v>4</v>
      </c>
      <c r="G34" s="24">
        <v>5</v>
      </c>
      <c r="H34" s="24">
        <v>6</v>
      </c>
      <c r="I34" s="24">
        <v>7</v>
      </c>
      <c r="J34" s="24">
        <v>8</v>
      </c>
      <c r="K34" s="24">
        <v>9</v>
      </c>
      <c r="L34" s="24">
        <v>10</v>
      </c>
      <c r="M34" s="24">
        <v>11</v>
      </c>
      <c r="N34" s="24">
        <v>12</v>
      </c>
      <c r="O34" s="24">
        <v>13</v>
      </c>
      <c r="P34" s="24">
        <v>14</v>
      </c>
      <c r="Q34" s="24">
        <v>15</v>
      </c>
      <c r="R34" s="24">
        <v>16</v>
      </c>
      <c r="S34" s="24">
        <v>17</v>
      </c>
      <c r="T34" s="24">
        <v>18</v>
      </c>
      <c r="U34" s="24">
        <v>19</v>
      </c>
      <c r="V34" s="24">
        <v>20</v>
      </c>
    </row>
    <row r="35" spans="1:256" ht="15" customHeight="1">
      <c r="A35" s="1" t="s">
        <v>2</v>
      </c>
      <c r="B35" s="1"/>
      <c r="C35" s="18" t="s">
        <v>50</v>
      </c>
      <c r="D35" s="18" t="s">
        <v>54</v>
      </c>
      <c r="E35" s="18" t="s">
        <v>55</v>
      </c>
      <c r="F35" s="18" t="s">
        <v>56</v>
      </c>
      <c r="G35" s="18" t="s">
        <v>50</v>
      </c>
      <c r="H35" s="18" t="s">
        <v>50</v>
      </c>
      <c r="I35" s="18" t="s">
        <v>50</v>
      </c>
      <c r="J35" s="18" t="s">
        <v>50</v>
      </c>
      <c r="K35" s="18" t="s">
        <v>50</v>
      </c>
      <c r="L35" s="18" t="s">
        <v>56</v>
      </c>
      <c r="M35" s="18" t="s">
        <v>50</v>
      </c>
      <c r="N35" s="18" t="s">
        <v>52</v>
      </c>
      <c r="O35" s="18" t="s">
        <v>50</v>
      </c>
      <c r="P35" s="18" t="s">
        <v>56</v>
      </c>
      <c r="Q35" s="18" t="s">
        <v>50</v>
      </c>
      <c r="R35" s="18" t="s">
        <v>50</v>
      </c>
      <c r="S35" s="18" t="s">
        <v>52</v>
      </c>
      <c r="T35" s="18" t="s">
        <v>56</v>
      </c>
      <c r="U35" s="18" t="s">
        <v>50</v>
      </c>
      <c r="V35" s="18" t="s">
        <v>54</v>
      </c>
    </row>
    <row r="36" spans="1:256" ht="15.75" customHeight="1">
      <c r="A36" s="1" t="s">
        <v>3</v>
      </c>
      <c r="B36" s="1"/>
      <c r="C36" s="1" t="s">
        <v>48</v>
      </c>
      <c r="D36" s="1" t="s">
        <v>48</v>
      </c>
      <c r="E36" s="1" t="s">
        <v>49</v>
      </c>
      <c r="F36" s="1" t="s">
        <v>50</v>
      </c>
      <c r="G36" s="1" t="s">
        <v>51</v>
      </c>
      <c r="H36" s="1" t="s">
        <v>48</v>
      </c>
      <c r="I36" s="1" t="s">
        <v>51</v>
      </c>
      <c r="J36" s="1" t="s">
        <v>50</v>
      </c>
      <c r="K36" s="1" t="s">
        <v>49</v>
      </c>
      <c r="L36" s="1" t="s">
        <v>48</v>
      </c>
      <c r="M36" s="1" t="s">
        <v>48</v>
      </c>
      <c r="N36" s="1" t="s">
        <v>48</v>
      </c>
      <c r="O36" s="1" t="s">
        <v>52</v>
      </c>
      <c r="P36" s="1" t="s">
        <v>48</v>
      </c>
      <c r="Q36" s="1" t="s">
        <v>51</v>
      </c>
      <c r="R36" s="1" t="s">
        <v>52</v>
      </c>
      <c r="S36" s="1" t="s">
        <v>50</v>
      </c>
      <c r="T36" s="1" t="s">
        <v>51</v>
      </c>
      <c r="U36" s="1" t="s">
        <v>48</v>
      </c>
      <c r="V36" s="1" t="s">
        <v>50</v>
      </c>
    </row>
    <row r="37" spans="1:256" ht="14.25" customHeight="1">
      <c r="A37" s="196" t="s">
        <v>4</v>
      </c>
      <c r="B37" s="196"/>
      <c r="C37" s="123" t="s">
        <v>48</v>
      </c>
      <c r="D37" s="123" t="s">
        <v>48</v>
      </c>
      <c r="E37" s="123" t="s">
        <v>49</v>
      </c>
      <c r="F37" s="123" t="s">
        <v>51</v>
      </c>
      <c r="G37" s="123" t="s">
        <v>49</v>
      </c>
      <c r="H37" s="123" t="s">
        <v>48</v>
      </c>
      <c r="I37" s="123" t="s">
        <v>49</v>
      </c>
      <c r="J37" s="123" t="s">
        <v>51</v>
      </c>
      <c r="K37" s="123" t="s">
        <v>52</v>
      </c>
      <c r="L37" s="123" t="s">
        <v>49</v>
      </c>
      <c r="M37" s="123" t="s">
        <v>49</v>
      </c>
      <c r="N37" s="123" t="s">
        <v>51</v>
      </c>
      <c r="O37" s="123" t="s">
        <v>50</v>
      </c>
      <c r="P37" s="123" t="s">
        <v>52</v>
      </c>
      <c r="Q37" s="123" t="s">
        <v>52</v>
      </c>
      <c r="R37" s="123" t="s">
        <v>52</v>
      </c>
      <c r="S37" s="123" t="s">
        <v>50</v>
      </c>
      <c r="T37" s="123" t="s">
        <v>48</v>
      </c>
      <c r="U37" s="123" t="s">
        <v>50</v>
      </c>
      <c r="V37" s="123" t="s">
        <v>52</v>
      </c>
      <c r="W37" s="124"/>
      <c r="X37" s="124"/>
      <c r="Y37" s="124" t="s">
        <v>140</v>
      </c>
      <c r="Z37" s="124" t="s">
        <v>141</v>
      </c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  <c r="GK37" s="124"/>
      <c r="GL37" s="124"/>
      <c r="GM37" s="124"/>
      <c r="GN37" s="124"/>
      <c r="GO37" s="124"/>
      <c r="GP37" s="124"/>
      <c r="GQ37" s="124"/>
      <c r="GR37" s="124"/>
      <c r="GS37" s="124"/>
      <c r="GT37" s="124"/>
      <c r="GU37" s="124"/>
      <c r="GV37" s="124"/>
      <c r="GW37" s="124"/>
      <c r="GX37" s="124"/>
      <c r="GY37" s="124"/>
      <c r="GZ37" s="124"/>
      <c r="HA37" s="124"/>
      <c r="HB37" s="124"/>
      <c r="HC37" s="124"/>
      <c r="HD37" s="124"/>
      <c r="HE37" s="124"/>
      <c r="HF37" s="124"/>
      <c r="HG37" s="124"/>
      <c r="HH37" s="124"/>
      <c r="HI37" s="124"/>
      <c r="HJ37" s="124"/>
      <c r="HK37" s="124"/>
      <c r="HL37" s="124"/>
      <c r="HM37" s="124"/>
      <c r="HN37" s="124"/>
      <c r="HO37" s="124"/>
      <c r="HP37" s="124"/>
      <c r="HQ37" s="124"/>
      <c r="HR37" s="124"/>
      <c r="HS37" s="124"/>
      <c r="HT37" s="124"/>
      <c r="HU37" s="124"/>
      <c r="HV37" s="124"/>
      <c r="HW37" s="124"/>
      <c r="HX37" s="124"/>
      <c r="HY37" s="124"/>
      <c r="HZ37" s="124"/>
      <c r="IA37" s="124"/>
      <c r="IB37" s="124"/>
      <c r="IC37" s="124"/>
      <c r="ID37" s="124"/>
      <c r="IE37" s="124"/>
      <c r="IF37" s="124"/>
      <c r="IG37" s="124"/>
      <c r="IH37" s="124"/>
      <c r="II37" s="124"/>
      <c r="IJ37" s="124"/>
      <c r="IK37" s="124"/>
      <c r="IL37" s="124"/>
      <c r="IM37" s="124"/>
      <c r="IN37" s="124"/>
      <c r="IO37" s="124"/>
      <c r="IP37" s="124"/>
      <c r="IQ37" s="124"/>
      <c r="IR37" s="124"/>
      <c r="IS37" s="124"/>
      <c r="IT37" s="124"/>
      <c r="IU37" s="124"/>
      <c r="IV37" s="124"/>
    </row>
    <row r="38" spans="1:256" ht="14.25" hidden="1" customHeight="1">
      <c r="A38" s="1" t="s">
        <v>53</v>
      </c>
      <c r="B38" s="1"/>
      <c r="C38" s="1">
        <f>IF(C37="",0,IF(C37=C36,1,-0.25))</f>
        <v>1</v>
      </c>
      <c r="D38" s="1">
        <f t="shared" ref="D38:V38" si="0">IF(D37="",0,IF(D37=D36,1,-0.25))</f>
        <v>1</v>
      </c>
      <c r="E38" s="1">
        <f t="shared" si="0"/>
        <v>1</v>
      </c>
      <c r="F38" s="1">
        <f t="shared" si="0"/>
        <v>-0.25</v>
      </c>
      <c r="G38" s="1">
        <f t="shared" si="0"/>
        <v>-0.25</v>
      </c>
      <c r="H38" s="1">
        <f t="shared" si="0"/>
        <v>1</v>
      </c>
      <c r="I38" s="1">
        <f t="shared" si="0"/>
        <v>-0.25</v>
      </c>
      <c r="J38" s="1">
        <f t="shared" si="0"/>
        <v>-0.25</v>
      </c>
      <c r="K38" s="1">
        <f t="shared" si="0"/>
        <v>-0.25</v>
      </c>
      <c r="L38" s="1">
        <f t="shared" si="0"/>
        <v>-0.25</v>
      </c>
      <c r="M38" s="1">
        <f t="shared" si="0"/>
        <v>-0.25</v>
      </c>
      <c r="N38" s="1">
        <f t="shared" si="0"/>
        <v>-0.25</v>
      </c>
      <c r="O38" s="1">
        <f t="shared" si="0"/>
        <v>-0.25</v>
      </c>
      <c r="P38" s="1">
        <f t="shared" si="0"/>
        <v>-0.25</v>
      </c>
      <c r="Q38" s="1">
        <f t="shared" si="0"/>
        <v>-0.25</v>
      </c>
      <c r="R38" s="1">
        <f t="shared" si="0"/>
        <v>1</v>
      </c>
      <c r="S38" s="1">
        <f t="shared" si="0"/>
        <v>1</v>
      </c>
      <c r="T38" s="1">
        <f t="shared" si="0"/>
        <v>-0.25</v>
      </c>
      <c r="U38" s="1">
        <f t="shared" si="0"/>
        <v>-0.25</v>
      </c>
      <c r="V38" s="1">
        <f t="shared" si="0"/>
        <v>-0.25</v>
      </c>
    </row>
    <row r="39" spans="1:256" ht="14.25" customHeight="1">
      <c r="A39" s="8" t="s">
        <v>5</v>
      </c>
      <c r="B39" s="2"/>
      <c r="C39" s="8" t="s">
        <v>78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Y39">
        <f>SUMIF(C42:V42,"=pb",C45:V45)</f>
        <v>0.25</v>
      </c>
      <c r="Z39" s="119">
        <f>SUMIF(C42:V42,"=sc",C45:V45)</f>
        <v>1.25</v>
      </c>
    </row>
    <row r="40" spans="1:25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Y40">
        <f>SUMIF(C47:F47,"=pb",C50:F50)</f>
        <v>0</v>
      </c>
      <c r="Z40">
        <f>SUMIF(C47:F47,"=sc",C50:F50)</f>
        <v>0</v>
      </c>
    </row>
    <row r="41" spans="1:256">
      <c r="A41" s="2" t="s">
        <v>1</v>
      </c>
      <c r="B41" s="2"/>
      <c r="C41" s="23">
        <v>1</v>
      </c>
      <c r="D41" s="23">
        <v>2</v>
      </c>
      <c r="E41" s="23">
        <v>3</v>
      </c>
      <c r="F41" s="23">
        <v>4</v>
      </c>
      <c r="G41" s="23">
        <v>5</v>
      </c>
      <c r="H41" s="23">
        <v>6</v>
      </c>
      <c r="I41" s="23">
        <v>7</v>
      </c>
      <c r="J41" s="23">
        <v>8</v>
      </c>
      <c r="K41" s="23">
        <v>9</v>
      </c>
      <c r="L41" s="23">
        <v>10</v>
      </c>
      <c r="M41" s="23">
        <v>11</v>
      </c>
      <c r="N41" s="23">
        <v>12</v>
      </c>
      <c r="O41" s="23">
        <v>13</v>
      </c>
      <c r="P41" s="23">
        <v>14</v>
      </c>
      <c r="Q41" s="23">
        <v>15</v>
      </c>
      <c r="R41" s="23">
        <v>16</v>
      </c>
      <c r="S41" s="23">
        <v>17</v>
      </c>
      <c r="T41" s="23">
        <v>18</v>
      </c>
      <c r="U41" s="23">
        <v>19</v>
      </c>
      <c r="V41" s="23">
        <v>20</v>
      </c>
      <c r="Y41">
        <f>SUMIF(C73:V73,"=pb",C76:V76)</f>
        <v>0.75</v>
      </c>
      <c r="Z41">
        <f>SUMIF(C73:V73,"=sc",C76:V76)</f>
        <v>5.5</v>
      </c>
    </row>
    <row r="42" spans="1:256">
      <c r="A42" s="2" t="s">
        <v>2</v>
      </c>
      <c r="B42" s="2"/>
      <c r="C42" s="19" t="s">
        <v>57</v>
      </c>
      <c r="D42" s="19" t="s">
        <v>57</v>
      </c>
      <c r="E42" s="19" t="s">
        <v>57</v>
      </c>
      <c r="F42" s="19" t="s">
        <v>57</v>
      </c>
      <c r="G42" s="19" t="s">
        <v>57</v>
      </c>
      <c r="H42" s="19" t="s">
        <v>58</v>
      </c>
      <c r="I42" s="19" t="s">
        <v>58</v>
      </c>
      <c r="J42" s="19" t="s">
        <v>58</v>
      </c>
      <c r="K42" s="19" t="s">
        <v>58</v>
      </c>
      <c r="L42" s="19" t="s">
        <v>58</v>
      </c>
      <c r="M42" s="19" t="s">
        <v>58</v>
      </c>
      <c r="N42" s="19" t="s">
        <v>58</v>
      </c>
      <c r="O42" s="19" t="s">
        <v>58</v>
      </c>
      <c r="P42" s="19" t="s">
        <v>58</v>
      </c>
      <c r="Q42" s="19" t="s">
        <v>58</v>
      </c>
      <c r="R42" s="19" t="s">
        <v>58</v>
      </c>
      <c r="S42" s="19" t="s">
        <v>58</v>
      </c>
      <c r="T42" s="19" t="s">
        <v>58</v>
      </c>
      <c r="U42" s="19" t="s">
        <v>58</v>
      </c>
      <c r="V42" s="19" t="s">
        <v>58</v>
      </c>
      <c r="Y42">
        <f>SUMIF(C78:F78,"=pb",C81:F81)</f>
        <v>0.25</v>
      </c>
      <c r="Z42">
        <f>SUMIF(C78:F78,"=sc",C81:F81)</f>
        <v>0</v>
      </c>
    </row>
    <row r="43" spans="1:256">
      <c r="A43" s="2" t="s">
        <v>3</v>
      </c>
      <c r="B43" s="2"/>
      <c r="C43" s="2" t="s">
        <v>49</v>
      </c>
      <c r="D43" s="2" t="s">
        <v>50</v>
      </c>
      <c r="E43" s="2" t="s">
        <v>51</v>
      </c>
      <c r="F43" s="2" t="s">
        <v>50</v>
      </c>
      <c r="G43" s="2" t="s">
        <v>50</v>
      </c>
      <c r="H43" s="2" t="s">
        <v>49</v>
      </c>
      <c r="I43" s="2" t="s">
        <v>49</v>
      </c>
      <c r="J43" s="2" t="s">
        <v>48</v>
      </c>
      <c r="K43" s="2" t="s">
        <v>48</v>
      </c>
      <c r="L43" s="2" t="s">
        <v>50</v>
      </c>
      <c r="M43" s="2" t="s">
        <v>52</v>
      </c>
      <c r="N43" s="2" t="s">
        <v>48</v>
      </c>
      <c r="O43" s="2" t="s">
        <v>49</v>
      </c>
      <c r="P43" s="2" t="s">
        <v>52</v>
      </c>
      <c r="Q43" s="2" t="s">
        <v>48</v>
      </c>
      <c r="R43" s="2" t="s">
        <v>51</v>
      </c>
      <c r="S43" s="2" t="s">
        <v>49</v>
      </c>
      <c r="T43" s="2" t="s">
        <v>50</v>
      </c>
      <c r="U43" s="2" t="s">
        <v>52</v>
      </c>
      <c r="V43" s="2" t="s">
        <v>48</v>
      </c>
      <c r="Y43">
        <f>SUMIF(C85:U85,"=pb",C88:U88)</f>
        <v>0</v>
      </c>
      <c r="Z43">
        <f>SUMIF(C85:U85,"=sc",C88:U88)</f>
        <v>0</v>
      </c>
    </row>
    <row r="44" spans="1:256">
      <c r="A44" s="197" t="s">
        <v>4</v>
      </c>
      <c r="B44" s="197"/>
      <c r="C44" s="123" t="s">
        <v>48</v>
      </c>
      <c r="D44" s="123" t="s">
        <v>50</v>
      </c>
      <c r="E44" s="123" t="s">
        <v>51</v>
      </c>
      <c r="F44" s="123" t="s">
        <v>51</v>
      </c>
      <c r="G44" s="123" t="s">
        <v>52</v>
      </c>
      <c r="H44" s="123" t="s">
        <v>49</v>
      </c>
      <c r="I44" s="123" t="s">
        <v>48</v>
      </c>
      <c r="J44" s="123" t="s">
        <v>51</v>
      </c>
      <c r="K44" s="123" t="s">
        <v>48</v>
      </c>
      <c r="L44" s="123" t="s">
        <v>48</v>
      </c>
      <c r="M44" s="123" t="s">
        <v>50</v>
      </c>
      <c r="N44" s="123" t="s">
        <v>51</v>
      </c>
      <c r="O44" s="123" t="s">
        <v>51</v>
      </c>
      <c r="P44" s="123" t="s">
        <v>52</v>
      </c>
      <c r="Q44" s="123" t="s">
        <v>49</v>
      </c>
      <c r="R44" s="123" t="s">
        <v>49</v>
      </c>
      <c r="S44" s="123" t="s">
        <v>48</v>
      </c>
      <c r="T44" s="123" t="s">
        <v>48</v>
      </c>
      <c r="U44" s="123" t="s">
        <v>49</v>
      </c>
      <c r="V44" s="123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4"/>
      <c r="CJ44" s="124"/>
      <c r="CK44" s="124"/>
      <c r="CL44" s="124"/>
      <c r="CM44" s="124"/>
      <c r="CN44" s="124"/>
      <c r="CO44" s="124"/>
      <c r="CP44" s="124"/>
      <c r="CQ44" s="124"/>
      <c r="CR44" s="124"/>
      <c r="CS44" s="124"/>
      <c r="CT44" s="124"/>
      <c r="CU44" s="124"/>
      <c r="CV44" s="124"/>
      <c r="CW44" s="124"/>
      <c r="CX44" s="124"/>
      <c r="CY44" s="124"/>
      <c r="CZ44" s="124"/>
      <c r="DA44" s="124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4"/>
      <c r="DM44" s="124"/>
      <c r="DN44" s="124"/>
      <c r="DO44" s="124"/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  <c r="DZ44" s="124"/>
      <c r="EA44" s="124"/>
      <c r="EB44" s="124"/>
      <c r="EC44" s="124"/>
      <c r="ED44" s="124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4"/>
      <c r="EP44" s="124"/>
      <c r="EQ44" s="124"/>
      <c r="ER44" s="124"/>
      <c r="ES44" s="124"/>
      <c r="ET44" s="124"/>
      <c r="EU44" s="124"/>
      <c r="EV44" s="124"/>
      <c r="EW44" s="124"/>
      <c r="EX44" s="124"/>
      <c r="EY44" s="124"/>
      <c r="EZ44" s="124"/>
      <c r="FA44" s="124"/>
      <c r="FB44" s="124"/>
      <c r="FC44" s="124"/>
      <c r="FD44" s="124"/>
      <c r="FE44" s="124"/>
      <c r="FF44" s="124"/>
      <c r="FG44" s="124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4"/>
      <c r="FS44" s="124"/>
      <c r="FT44" s="124"/>
      <c r="FU44" s="124"/>
      <c r="FV44" s="124"/>
      <c r="FW44" s="124"/>
      <c r="FX44" s="124"/>
      <c r="FY44" s="124"/>
      <c r="FZ44" s="124"/>
      <c r="GA44" s="124"/>
      <c r="GB44" s="124"/>
      <c r="GC44" s="124"/>
      <c r="GD44" s="124"/>
      <c r="GE44" s="124"/>
      <c r="GF44" s="124"/>
      <c r="GG44" s="124"/>
      <c r="GH44" s="124"/>
      <c r="GI44" s="124"/>
      <c r="GJ44" s="124"/>
      <c r="GK44" s="124"/>
      <c r="GL44" s="124"/>
      <c r="GM44" s="124"/>
      <c r="GN44" s="124"/>
      <c r="GO44" s="124"/>
      <c r="GP44" s="124"/>
      <c r="GQ44" s="124"/>
      <c r="GR44" s="124"/>
      <c r="GS44" s="124"/>
      <c r="GT44" s="124"/>
      <c r="GU44" s="124"/>
      <c r="GV44" s="124"/>
      <c r="GW44" s="124"/>
      <c r="GX44" s="124"/>
      <c r="GY44" s="124"/>
      <c r="GZ44" s="124"/>
      <c r="HA44" s="124"/>
      <c r="HB44" s="124"/>
      <c r="HC44" s="124"/>
      <c r="HD44" s="124"/>
      <c r="HE44" s="124"/>
      <c r="HF44" s="124"/>
      <c r="HG44" s="124"/>
      <c r="HH44" s="124"/>
      <c r="HI44" s="124"/>
      <c r="HJ44" s="124"/>
      <c r="HK44" s="124"/>
      <c r="HL44" s="124"/>
      <c r="HM44" s="124"/>
      <c r="HN44" s="124"/>
      <c r="HO44" s="124"/>
      <c r="HP44" s="124"/>
      <c r="HQ44" s="124"/>
      <c r="HR44" s="124"/>
      <c r="HS44" s="124"/>
      <c r="HT44" s="124"/>
      <c r="HU44" s="124"/>
      <c r="HV44" s="124"/>
      <c r="HW44" s="124"/>
      <c r="HX44" s="124"/>
      <c r="HY44" s="124"/>
      <c r="HZ44" s="124"/>
      <c r="IA44" s="124"/>
      <c r="IB44" s="124"/>
      <c r="IC44" s="124"/>
      <c r="ID44" s="124"/>
      <c r="IE44" s="124"/>
      <c r="IF44" s="124"/>
      <c r="IG44" s="124"/>
      <c r="IH44" s="124"/>
      <c r="II44" s="124"/>
      <c r="IJ44" s="124"/>
      <c r="IK44" s="124"/>
      <c r="IL44" s="124"/>
      <c r="IM44" s="124"/>
      <c r="IN44" s="124"/>
      <c r="IO44" s="124"/>
      <c r="IP44" s="124"/>
      <c r="IQ44" s="124"/>
      <c r="IR44" s="124"/>
      <c r="IS44" s="124"/>
      <c r="IT44" s="124"/>
      <c r="IU44" s="124"/>
      <c r="IV44" s="124"/>
    </row>
    <row r="45" spans="1:256" hidden="1">
      <c r="A45" s="2" t="s">
        <v>53</v>
      </c>
      <c r="B45" s="2"/>
      <c r="C45" s="2">
        <f>IF(C44="",0,IF(C44=C43,1,-0.25))</f>
        <v>-0.25</v>
      </c>
      <c r="D45" s="2">
        <f t="shared" ref="D45:V45" si="1">IF(D44="",0,IF(D44=D43,1,-0.25))</f>
        <v>1</v>
      </c>
      <c r="E45" s="2">
        <f t="shared" si="1"/>
        <v>1</v>
      </c>
      <c r="F45" s="2">
        <f t="shared" si="1"/>
        <v>-0.25</v>
      </c>
      <c r="G45" s="2">
        <f t="shared" si="1"/>
        <v>-0.25</v>
      </c>
      <c r="H45" s="2">
        <f t="shared" si="1"/>
        <v>1</v>
      </c>
      <c r="I45" s="2">
        <f t="shared" si="1"/>
        <v>-0.25</v>
      </c>
      <c r="J45" s="2">
        <f t="shared" si="1"/>
        <v>-0.25</v>
      </c>
      <c r="K45" s="2">
        <f t="shared" si="1"/>
        <v>1</v>
      </c>
      <c r="L45" s="2">
        <f t="shared" si="1"/>
        <v>-0.25</v>
      </c>
      <c r="M45" s="2">
        <f t="shared" si="1"/>
        <v>-0.25</v>
      </c>
      <c r="N45" s="2">
        <f t="shared" si="1"/>
        <v>-0.25</v>
      </c>
      <c r="O45" s="2">
        <f t="shared" si="1"/>
        <v>-0.25</v>
      </c>
      <c r="P45" s="2">
        <f t="shared" si="1"/>
        <v>1</v>
      </c>
      <c r="Q45" s="2">
        <f t="shared" si="1"/>
        <v>-0.25</v>
      </c>
      <c r="R45" s="2">
        <f t="shared" si="1"/>
        <v>-0.25</v>
      </c>
      <c r="S45" s="2">
        <f t="shared" si="1"/>
        <v>-0.25</v>
      </c>
      <c r="T45" s="2">
        <f t="shared" si="1"/>
        <v>-0.25</v>
      </c>
      <c r="U45" s="2">
        <f t="shared" si="1"/>
        <v>-0.25</v>
      </c>
      <c r="V45" s="2">
        <f t="shared" si="1"/>
        <v>0</v>
      </c>
      <c r="X45" s="25" t="s">
        <v>35</v>
      </c>
      <c r="Y45">
        <f>SUM(Y39:Y43)</f>
        <v>1.25</v>
      </c>
      <c r="Z45" s="119">
        <f>SUM(Z39:Z43)</f>
        <v>6.75</v>
      </c>
    </row>
    <row r="46" spans="1:256">
      <c r="A46" s="2"/>
      <c r="B46" s="2"/>
      <c r="C46" s="23">
        <v>21</v>
      </c>
      <c r="D46" s="23">
        <v>22</v>
      </c>
      <c r="E46" s="23">
        <v>23</v>
      </c>
      <c r="F46" s="23">
        <v>24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X46" t="s">
        <v>142</v>
      </c>
      <c r="Y46">
        <f>Y45*1.396</f>
        <v>1.7449999999999999</v>
      </c>
      <c r="Z46">
        <f>Z45*(67/19)</f>
        <v>23.802631578947366</v>
      </c>
    </row>
    <row r="47" spans="1:256">
      <c r="A47" s="2"/>
      <c r="B47" s="2"/>
      <c r="C47" s="19" t="s">
        <v>58</v>
      </c>
      <c r="D47" s="19" t="s">
        <v>58</v>
      </c>
      <c r="E47" s="19" t="s">
        <v>58</v>
      </c>
      <c r="F47" s="19" t="s">
        <v>58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X47" t="s">
        <v>36</v>
      </c>
      <c r="Y47">
        <f>ROUND(Y46,0)</f>
        <v>2</v>
      </c>
      <c r="Z47">
        <f>ROUND(Z46,0)</f>
        <v>24</v>
      </c>
    </row>
    <row r="48" spans="1:256">
      <c r="A48" s="2"/>
      <c r="B48" s="2"/>
      <c r="C48" s="2" t="s">
        <v>49</v>
      </c>
      <c r="D48" s="2" t="s">
        <v>49</v>
      </c>
      <c r="E48" s="2" t="s">
        <v>49</v>
      </c>
      <c r="F48" s="2" t="s">
        <v>51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X48" t="s">
        <v>143</v>
      </c>
      <c r="Y48">
        <f>VLOOKUP(Y47,Tables!A3:D75,2,FALSE)</f>
        <v>280</v>
      </c>
      <c r="Z48">
        <f>VLOOKUP(Z47,Tables!A3:D75,2,TRUE)</f>
        <v>460</v>
      </c>
    </row>
    <row r="49" spans="1:256">
      <c r="A49" s="125"/>
      <c r="B49" s="125"/>
      <c r="C49" s="123"/>
      <c r="D49" s="123"/>
      <c r="E49" s="123"/>
      <c r="F49" s="123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24"/>
      <c r="BZ49" s="124"/>
      <c r="CA49" s="124"/>
      <c r="CB49" s="124"/>
      <c r="CC49" s="124"/>
      <c r="CD49" s="124"/>
      <c r="CE49" s="124"/>
      <c r="CF49" s="124"/>
      <c r="CG49" s="124"/>
      <c r="CH49" s="124"/>
      <c r="CI49" s="124"/>
      <c r="CJ49" s="124"/>
      <c r="CK49" s="124"/>
      <c r="CL49" s="124"/>
      <c r="CM49" s="124"/>
      <c r="CN49" s="124"/>
      <c r="CO49" s="124"/>
      <c r="CP49" s="124"/>
      <c r="CQ49" s="124"/>
      <c r="CR49" s="124"/>
      <c r="CS49" s="124"/>
      <c r="CT49" s="124"/>
      <c r="CU49" s="124"/>
      <c r="CV49" s="124"/>
      <c r="CW49" s="124"/>
      <c r="CX49" s="124"/>
      <c r="CY49" s="124"/>
      <c r="CZ49" s="124"/>
      <c r="DA49" s="124"/>
      <c r="DB49" s="124"/>
      <c r="DC49" s="124"/>
      <c r="DD49" s="124"/>
      <c r="DE49" s="124"/>
      <c r="DF49" s="124"/>
      <c r="DG49" s="124"/>
      <c r="DH49" s="124"/>
      <c r="DI49" s="124"/>
      <c r="DJ49" s="124"/>
      <c r="DK49" s="124"/>
      <c r="DL49" s="124"/>
      <c r="DM49" s="124"/>
      <c r="DN49" s="124"/>
      <c r="DO49" s="124"/>
      <c r="DP49" s="124"/>
      <c r="DQ49" s="124"/>
      <c r="DR49" s="124"/>
      <c r="DS49" s="124"/>
      <c r="DT49" s="124"/>
      <c r="DU49" s="124"/>
      <c r="DV49" s="124"/>
      <c r="DW49" s="124"/>
      <c r="DX49" s="124"/>
      <c r="DY49" s="124"/>
      <c r="DZ49" s="124"/>
      <c r="EA49" s="124"/>
      <c r="EB49" s="124"/>
      <c r="EC49" s="124"/>
      <c r="ED49" s="124"/>
      <c r="EE49" s="124"/>
      <c r="EF49" s="124"/>
      <c r="EG49" s="124"/>
      <c r="EH49" s="124"/>
      <c r="EI49" s="124"/>
      <c r="EJ49" s="124"/>
      <c r="EK49" s="124"/>
      <c r="EL49" s="124"/>
      <c r="EM49" s="124"/>
      <c r="EN49" s="124"/>
      <c r="EO49" s="124"/>
      <c r="EP49" s="124"/>
      <c r="EQ49" s="124"/>
      <c r="ER49" s="124"/>
      <c r="ES49" s="124"/>
      <c r="ET49" s="124"/>
      <c r="EU49" s="124"/>
      <c r="EV49" s="124"/>
      <c r="EW49" s="124"/>
      <c r="EX49" s="124"/>
      <c r="EY49" s="124"/>
      <c r="EZ49" s="124"/>
      <c r="FA49" s="124"/>
      <c r="FB49" s="124"/>
      <c r="FC49" s="124"/>
      <c r="FD49" s="124"/>
      <c r="FE49" s="124"/>
      <c r="FF49" s="124"/>
      <c r="FG49" s="124"/>
      <c r="FH49" s="124"/>
      <c r="FI49" s="124"/>
      <c r="FJ49" s="124"/>
      <c r="FK49" s="124"/>
      <c r="FL49" s="124"/>
      <c r="FM49" s="124"/>
      <c r="FN49" s="124"/>
      <c r="FO49" s="124"/>
      <c r="FP49" s="124"/>
      <c r="FQ49" s="124"/>
      <c r="FR49" s="124"/>
      <c r="FS49" s="124"/>
      <c r="FT49" s="124"/>
      <c r="FU49" s="124"/>
      <c r="FV49" s="124"/>
      <c r="FW49" s="124"/>
      <c r="FX49" s="124"/>
      <c r="FY49" s="124"/>
      <c r="FZ49" s="124"/>
      <c r="GA49" s="124"/>
      <c r="GB49" s="124"/>
      <c r="GC49" s="124"/>
      <c r="GD49" s="124"/>
      <c r="GE49" s="124"/>
      <c r="GF49" s="124"/>
      <c r="GG49" s="124"/>
      <c r="GH49" s="124"/>
      <c r="GI49" s="124"/>
      <c r="GJ49" s="124"/>
      <c r="GK49" s="124"/>
      <c r="GL49" s="124"/>
      <c r="GM49" s="124"/>
      <c r="GN49" s="124"/>
      <c r="GO49" s="124"/>
      <c r="GP49" s="124"/>
      <c r="GQ49" s="124"/>
      <c r="GR49" s="124"/>
      <c r="GS49" s="124"/>
      <c r="GT49" s="124"/>
      <c r="GU49" s="124"/>
      <c r="GV49" s="124"/>
      <c r="GW49" s="124"/>
      <c r="GX49" s="124"/>
      <c r="GY49" s="124"/>
      <c r="GZ49" s="124"/>
      <c r="HA49" s="124"/>
      <c r="HB49" s="124"/>
      <c r="HC49" s="124"/>
      <c r="HD49" s="124"/>
      <c r="HE49" s="124"/>
      <c r="HF49" s="124"/>
      <c r="HG49" s="124"/>
      <c r="HH49" s="124"/>
      <c r="HI49" s="124"/>
      <c r="HJ49" s="124"/>
      <c r="HK49" s="124"/>
      <c r="HL49" s="124"/>
      <c r="HM49" s="124"/>
      <c r="HN49" s="124"/>
      <c r="HO49" s="124"/>
      <c r="HP49" s="124"/>
      <c r="HQ49" s="124"/>
      <c r="HR49" s="124"/>
      <c r="HS49" s="124"/>
      <c r="HT49" s="124"/>
      <c r="HU49" s="124"/>
      <c r="HV49" s="124"/>
      <c r="HW49" s="124"/>
      <c r="HX49" s="124"/>
      <c r="HY49" s="124"/>
      <c r="HZ49" s="124"/>
      <c r="IA49" s="124"/>
      <c r="IB49" s="124"/>
      <c r="IC49" s="124"/>
      <c r="ID49" s="124"/>
      <c r="IE49" s="124"/>
      <c r="IF49" s="124"/>
      <c r="IG49" s="124"/>
      <c r="IH49" s="124"/>
      <c r="II49" s="124"/>
      <c r="IJ49" s="124"/>
      <c r="IK49" s="124"/>
      <c r="IL49" s="124"/>
      <c r="IM49" s="124"/>
      <c r="IN49" s="124"/>
      <c r="IO49" s="124"/>
      <c r="IP49" s="124"/>
      <c r="IQ49" s="124"/>
      <c r="IR49" s="124"/>
      <c r="IS49" s="124"/>
      <c r="IT49" s="124"/>
      <c r="IU49" s="124"/>
      <c r="IV49" s="124"/>
    </row>
    <row r="50" spans="1:256" hidden="1">
      <c r="A50" s="2" t="s">
        <v>53</v>
      </c>
      <c r="B50" s="2"/>
      <c r="C50" s="2">
        <f>IF(C49="",0,IF(C49=C48,1,-0.25))</f>
        <v>0</v>
      </c>
      <c r="D50" s="2">
        <f>IF(D49="",0,IF(D49=D48,1,-0.25))</f>
        <v>0</v>
      </c>
      <c r="E50" s="2">
        <f>IF(E49="",0,IF(E49=E48,1,-0.25))</f>
        <v>0</v>
      </c>
      <c r="F50" s="2">
        <f>IF(F49="",0,IF(F49=F48,1,-0.25))</f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56">
      <c r="A51" s="7" t="s">
        <v>6</v>
      </c>
      <c r="B51" s="3"/>
      <c r="C51" s="7" t="s">
        <v>79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56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56">
      <c r="A53" s="3" t="s">
        <v>1</v>
      </c>
      <c r="B53" s="3"/>
      <c r="C53" s="22">
        <v>1</v>
      </c>
      <c r="D53" s="22">
        <v>2</v>
      </c>
      <c r="E53" s="22">
        <v>3</v>
      </c>
      <c r="F53" s="22">
        <v>4</v>
      </c>
      <c r="G53" s="22">
        <v>5</v>
      </c>
      <c r="H53" s="22">
        <v>6</v>
      </c>
      <c r="I53" s="22">
        <v>7</v>
      </c>
      <c r="J53" s="22">
        <v>8</v>
      </c>
      <c r="K53" s="22">
        <v>9</v>
      </c>
      <c r="L53" s="22">
        <v>10</v>
      </c>
      <c r="M53" s="22">
        <v>11</v>
      </c>
      <c r="N53" s="22">
        <v>12</v>
      </c>
      <c r="O53" s="22">
        <v>13</v>
      </c>
      <c r="P53" s="22">
        <v>14</v>
      </c>
      <c r="Q53" s="22">
        <v>15</v>
      </c>
      <c r="R53" s="22">
        <v>16</v>
      </c>
      <c r="S53" s="22">
        <v>17</v>
      </c>
      <c r="T53" s="22">
        <v>18</v>
      </c>
      <c r="U53" s="22">
        <v>19</v>
      </c>
      <c r="V53" s="22">
        <v>20</v>
      </c>
    </row>
    <row r="54" spans="1:256">
      <c r="A54" s="3" t="s">
        <v>2</v>
      </c>
      <c r="B54" s="3"/>
      <c r="C54" s="20" t="s">
        <v>59</v>
      </c>
      <c r="D54" s="20" t="s">
        <v>59</v>
      </c>
      <c r="E54" s="20" t="s">
        <v>59</v>
      </c>
      <c r="F54" s="20" t="s">
        <v>59</v>
      </c>
      <c r="G54" s="20" t="s">
        <v>59</v>
      </c>
      <c r="H54" s="20" t="s">
        <v>59</v>
      </c>
      <c r="I54" s="20" t="s">
        <v>59</v>
      </c>
      <c r="J54" s="20" t="s">
        <v>59</v>
      </c>
      <c r="K54" s="20" t="s">
        <v>59</v>
      </c>
      <c r="L54" s="20" t="s">
        <v>59</v>
      </c>
      <c r="M54" s="20" t="s">
        <v>59</v>
      </c>
      <c r="N54" s="20" t="s">
        <v>60</v>
      </c>
      <c r="O54" s="20" t="s">
        <v>60</v>
      </c>
      <c r="P54" s="20" t="s">
        <v>60</v>
      </c>
      <c r="Q54" s="20" t="s">
        <v>60</v>
      </c>
      <c r="R54" s="20" t="s">
        <v>60</v>
      </c>
      <c r="S54" s="20" t="s">
        <v>60</v>
      </c>
      <c r="T54" s="20" t="s">
        <v>60</v>
      </c>
      <c r="U54" s="20" t="s">
        <v>60</v>
      </c>
      <c r="V54" s="20" t="s">
        <v>60</v>
      </c>
      <c r="Y54" s="25"/>
    </row>
    <row r="55" spans="1:256">
      <c r="A55" s="3" t="s">
        <v>3</v>
      </c>
      <c r="B55" s="3"/>
      <c r="C55" s="3" t="s">
        <v>50</v>
      </c>
      <c r="D55" s="3" t="s">
        <v>52</v>
      </c>
      <c r="E55" s="3" t="s">
        <v>52</v>
      </c>
      <c r="F55" s="3" t="s">
        <v>50</v>
      </c>
      <c r="G55" s="3" t="s">
        <v>48</v>
      </c>
      <c r="H55" s="3" t="s">
        <v>48</v>
      </c>
      <c r="I55" s="3" t="s">
        <v>51</v>
      </c>
      <c r="J55" s="3" t="s">
        <v>49</v>
      </c>
      <c r="K55" s="3" t="s">
        <v>52</v>
      </c>
      <c r="L55" s="3" t="s">
        <v>49</v>
      </c>
      <c r="M55" s="3" t="s">
        <v>50</v>
      </c>
      <c r="N55" s="3" t="s">
        <v>51</v>
      </c>
      <c r="O55" s="3" t="s">
        <v>49</v>
      </c>
      <c r="P55" s="3" t="s">
        <v>48</v>
      </c>
      <c r="Q55" s="3" t="s">
        <v>51</v>
      </c>
      <c r="R55" s="3" t="s">
        <v>48</v>
      </c>
      <c r="S55" s="3" t="s">
        <v>48</v>
      </c>
      <c r="T55" s="3" t="s">
        <v>48</v>
      </c>
      <c r="U55" s="3" t="s">
        <v>52</v>
      </c>
      <c r="V55" s="3" t="s">
        <v>49</v>
      </c>
      <c r="Y55" s="25" t="s">
        <v>50</v>
      </c>
    </row>
    <row r="56" spans="1:256">
      <c r="A56" s="198" t="s">
        <v>4</v>
      </c>
      <c r="B56" s="198"/>
      <c r="C56" s="123" t="s">
        <v>50</v>
      </c>
      <c r="D56" s="123" t="s">
        <v>52</v>
      </c>
      <c r="E56" s="123" t="s">
        <v>52</v>
      </c>
      <c r="F56" s="123" t="s">
        <v>49</v>
      </c>
      <c r="G56" s="123" t="s">
        <v>50</v>
      </c>
      <c r="H56" s="123" t="s">
        <v>48</v>
      </c>
      <c r="I56" s="123" t="s">
        <v>51</v>
      </c>
      <c r="J56" s="123" t="s">
        <v>49</v>
      </c>
      <c r="K56" s="123" t="s">
        <v>50</v>
      </c>
      <c r="L56" s="123" t="s">
        <v>50</v>
      </c>
      <c r="M56" s="123" t="s">
        <v>51</v>
      </c>
      <c r="N56" s="123" t="s">
        <v>51</v>
      </c>
      <c r="O56" s="123" t="s">
        <v>49</v>
      </c>
      <c r="P56" s="123" t="s">
        <v>48</v>
      </c>
      <c r="Q56" s="123" t="s">
        <v>51</v>
      </c>
      <c r="R56" s="123" t="s">
        <v>48</v>
      </c>
      <c r="S56" s="123" t="s">
        <v>48</v>
      </c>
      <c r="T56" s="123" t="s">
        <v>48</v>
      </c>
      <c r="U56" s="123" t="s">
        <v>52</v>
      </c>
      <c r="V56" s="123" t="s">
        <v>49</v>
      </c>
      <c r="W56" s="124"/>
      <c r="X56" s="124"/>
      <c r="Y56" s="126" t="s">
        <v>51</v>
      </c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24"/>
      <c r="BZ56" s="124"/>
      <c r="CA56" s="124"/>
      <c r="CB56" s="124"/>
      <c r="CC56" s="124"/>
      <c r="CD56" s="124"/>
      <c r="CE56" s="124"/>
      <c r="CF56" s="124"/>
      <c r="CG56" s="124"/>
      <c r="CH56" s="124"/>
      <c r="CI56" s="124"/>
      <c r="CJ56" s="124"/>
      <c r="CK56" s="124"/>
      <c r="CL56" s="124"/>
      <c r="CM56" s="124"/>
      <c r="CN56" s="124"/>
      <c r="CO56" s="124"/>
      <c r="CP56" s="124"/>
      <c r="CQ56" s="124"/>
      <c r="CR56" s="124"/>
      <c r="CS56" s="124"/>
      <c r="CT56" s="124"/>
      <c r="CU56" s="124"/>
      <c r="CV56" s="124"/>
      <c r="CW56" s="124"/>
      <c r="CX56" s="124"/>
      <c r="CY56" s="124"/>
      <c r="CZ56" s="124"/>
      <c r="DA56" s="124"/>
      <c r="DB56" s="124"/>
      <c r="DC56" s="124"/>
      <c r="DD56" s="124"/>
      <c r="DE56" s="124"/>
      <c r="DF56" s="124"/>
      <c r="DG56" s="124"/>
      <c r="DH56" s="124"/>
      <c r="DI56" s="124"/>
      <c r="DJ56" s="124"/>
      <c r="DK56" s="124"/>
      <c r="DL56" s="124"/>
      <c r="DM56" s="124"/>
      <c r="DN56" s="124"/>
      <c r="DO56" s="124"/>
      <c r="DP56" s="124"/>
      <c r="DQ56" s="124"/>
      <c r="DR56" s="124"/>
      <c r="DS56" s="124"/>
      <c r="DT56" s="124"/>
      <c r="DU56" s="124"/>
      <c r="DV56" s="124"/>
      <c r="DW56" s="124"/>
      <c r="DX56" s="124"/>
      <c r="DY56" s="124"/>
      <c r="DZ56" s="124"/>
      <c r="EA56" s="124"/>
      <c r="EB56" s="124"/>
      <c r="EC56" s="124"/>
      <c r="ED56" s="124"/>
      <c r="EE56" s="124"/>
      <c r="EF56" s="124"/>
      <c r="EG56" s="124"/>
      <c r="EH56" s="124"/>
      <c r="EI56" s="124"/>
      <c r="EJ56" s="124"/>
      <c r="EK56" s="124"/>
      <c r="EL56" s="124"/>
      <c r="EM56" s="124"/>
      <c r="EN56" s="124"/>
      <c r="EO56" s="124"/>
      <c r="EP56" s="124"/>
      <c r="EQ56" s="124"/>
      <c r="ER56" s="124"/>
      <c r="ES56" s="124"/>
      <c r="ET56" s="124"/>
      <c r="EU56" s="124"/>
      <c r="EV56" s="124"/>
      <c r="EW56" s="124"/>
      <c r="EX56" s="124"/>
      <c r="EY56" s="124"/>
      <c r="EZ56" s="124"/>
      <c r="FA56" s="124"/>
      <c r="FB56" s="124"/>
      <c r="FC56" s="124"/>
      <c r="FD56" s="124"/>
      <c r="FE56" s="124"/>
      <c r="FF56" s="124"/>
      <c r="FG56" s="124"/>
      <c r="FH56" s="124"/>
      <c r="FI56" s="124"/>
      <c r="FJ56" s="124"/>
      <c r="FK56" s="124"/>
      <c r="FL56" s="124"/>
      <c r="FM56" s="124"/>
      <c r="FN56" s="124"/>
      <c r="FO56" s="124"/>
      <c r="FP56" s="124"/>
      <c r="FQ56" s="124"/>
      <c r="FR56" s="124"/>
      <c r="FS56" s="124"/>
      <c r="FT56" s="124"/>
      <c r="FU56" s="124"/>
      <c r="FV56" s="124"/>
      <c r="FW56" s="124"/>
      <c r="FX56" s="124"/>
      <c r="FY56" s="124"/>
      <c r="FZ56" s="124"/>
      <c r="GA56" s="124"/>
      <c r="GB56" s="124"/>
      <c r="GC56" s="124"/>
      <c r="GD56" s="124"/>
      <c r="GE56" s="124"/>
      <c r="GF56" s="124"/>
      <c r="GG56" s="124"/>
      <c r="GH56" s="124"/>
      <c r="GI56" s="124"/>
      <c r="GJ56" s="124"/>
      <c r="GK56" s="124"/>
      <c r="GL56" s="124"/>
      <c r="GM56" s="124"/>
      <c r="GN56" s="124"/>
      <c r="GO56" s="124"/>
      <c r="GP56" s="124"/>
      <c r="GQ56" s="124"/>
      <c r="GR56" s="124"/>
      <c r="GS56" s="124"/>
      <c r="GT56" s="124"/>
      <c r="GU56" s="124"/>
      <c r="GV56" s="124"/>
      <c r="GW56" s="124"/>
      <c r="GX56" s="124"/>
      <c r="GY56" s="124"/>
      <c r="GZ56" s="124"/>
      <c r="HA56" s="124"/>
      <c r="HB56" s="124"/>
      <c r="HC56" s="124"/>
      <c r="HD56" s="124"/>
      <c r="HE56" s="124"/>
      <c r="HF56" s="124"/>
      <c r="HG56" s="124"/>
      <c r="HH56" s="124"/>
      <c r="HI56" s="124"/>
      <c r="HJ56" s="124"/>
      <c r="HK56" s="124"/>
      <c r="HL56" s="124"/>
      <c r="HM56" s="124"/>
      <c r="HN56" s="124"/>
      <c r="HO56" s="124"/>
      <c r="HP56" s="124"/>
      <c r="HQ56" s="124"/>
      <c r="HR56" s="124"/>
      <c r="HS56" s="124"/>
      <c r="HT56" s="124"/>
      <c r="HU56" s="124"/>
      <c r="HV56" s="124"/>
      <c r="HW56" s="124"/>
      <c r="HX56" s="124"/>
      <c r="HY56" s="124"/>
      <c r="HZ56" s="124"/>
      <c r="IA56" s="124"/>
      <c r="IB56" s="124"/>
      <c r="IC56" s="124"/>
      <c r="ID56" s="124"/>
      <c r="IE56" s="124"/>
      <c r="IF56" s="124"/>
      <c r="IG56" s="124"/>
      <c r="IH56" s="124"/>
      <c r="II56" s="124"/>
      <c r="IJ56" s="124"/>
      <c r="IK56" s="124"/>
      <c r="IL56" s="124"/>
      <c r="IM56" s="124"/>
      <c r="IN56" s="124"/>
      <c r="IO56" s="124"/>
      <c r="IP56" s="124"/>
      <c r="IQ56" s="124"/>
      <c r="IR56" s="124"/>
      <c r="IS56" s="124"/>
      <c r="IT56" s="124"/>
      <c r="IU56" s="124"/>
      <c r="IV56" s="124"/>
    </row>
    <row r="57" spans="1:256" hidden="1">
      <c r="A57" s="3" t="s">
        <v>53</v>
      </c>
      <c r="B57" s="3"/>
      <c r="C57" s="3">
        <f>IF(C56="",0,IF(C56=C55,1,-0.25))</f>
        <v>1</v>
      </c>
      <c r="D57" s="3">
        <f t="shared" ref="D57:V57" si="2">IF(D56="",0,IF(D56=D55,1,-0.25))</f>
        <v>1</v>
      </c>
      <c r="E57" s="3">
        <f t="shared" si="2"/>
        <v>1</v>
      </c>
      <c r="F57" s="3">
        <f t="shared" si="2"/>
        <v>-0.25</v>
      </c>
      <c r="G57" s="3">
        <f t="shared" si="2"/>
        <v>-0.25</v>
      </c>
      <c r="H57" s="3">
        <f t="shared" si="2"/>
        <v>1</v>
      </c>
      <c r="I57" s="3">
        <f t="shared" si="2"/>
        <v>1</v>
      </c>
      <c r="J57" s="3">
        <f t="shared" si="2"/>
        <v>1</v>
      </c>
      <c r="K57" s="3">
        <f t="shared" si="2"/>
        <v>-0.25</v>
      </c>
      <c r="L57" s="3">
        <f t="shared" si="2"/>
        <v>-0.25</v>
      </c>
      <c r="M57" s="3">
        <f t="shared" si="2"/>
        <v>-0.25</v>
      </c>
      <c r="N57" s="3">
        <f t="shared" si="2"/>
        <v>1</v>
      </c>
      <c r="O57" s="3">
        <f t="shared" si="2"/>
        <v>1</v>
      </c>
      <c r="P57" s="3">
        <f t="shared" si="2"/>
        <v>1</v>
      </c>
      <c r="Q57" s="3">
        <f t="shared" si="2"/>
        <v>1</v>
      </c>
      <c r="R57" s="3">
        <f t="shared" si="2"/>
        <v>1</v>
      </c>
      <c r="S57" s="3">
        <f t="shared" si="2"/>
        <v>1</v>
      </c>
      <c r="T57" s="3">
        <f t="shared" si="2"/>
        <v>1</v>
      </c>
      <c r="U57" s="3">
        <f t="shared" si="2"/>
        <v>1</v>
      </c>
      <c r="V57" s="3">
        <f t="shared" si="2"/>
        <v>1</v>
      </c>
      <c r="Y57" s="25" t="s">
        <v>48</v>
      </c>
    </row>
    <row r="58" spans="1:256">
      <c r="A58" s="3"/>
      <c r="B58" s="3"/>
      <c r="C58" s="22">
        <v>21</v>
      </c>
      <c r="D58" s="22">
        <v>22</v>
      </c>
      <c r="E58" s="22">
        <v>23</v>
      </c>
      <c r="F58" s="22">
        <v>24</v>
      </c>
      <c r="G58" s="22">
        <v>25</v>
      </c>
      <c r="H58" s="22">
        <v>26</v>
      </c>
      <c r="I58" s="22">
        <v>27</v>
      </c>
      <c r="J58" s="22">
        <v>28</v>
      </c>
      <c r="K58" s="22">
        <v>29</v>
      </c>
      <c r="L58" s="22">
        <v>30</v>
      </c>
      <c r="M58" s="22">
        <v>31</v>
      </c>
      <c r="N58" s="22">
        <v>32</v>
      </c>
      <c r="O58" s="22">
        <v>33</v>
      </c>
      <c r="P58" s="22">
        <v>34</v>
      </c>
      <c r="Q58" s="22">
        <v>35</v>
      </c>
      <c r="R58" s="3"/>
      <c r="S58" s="3"/>
      <c r="T58" s="3"/>
      <c r="U58" s="3"/>
      <c r="V58" s="3"/>
      <c r="Y58" s="25" t="s">
        <v>52</v>
      </c>
    </row>
    <row r="59" spans="1:256">
      <c r="A59" s="3"/>
      <c r="B59" s="3"/>
      <c r="C59" s="20" t="s">
        <v>60</v>
      </c>
      <c r="D59" s="20" t="s">
        <v>60</v>
      </c>
      <c r="E59" s="20" t="s">
        <v>60</v>
      </c>
      <c r="F59" s="20" t="s">
        <v>60</v>
      </c>
      <c r="G59" s="20" t="s">
        <v>60</v>
      </c>
      <c r="H59" s="20" t="s">
        <v>60</v>
      </c>
      <c r="I59" s="20" t="s">
        <v>60</v>
      </c>
      <c r="J59" s="20" t="s">
        <v>60</v>
      </c>
      <c r="K59" s="20" t="s">
        <v>60</v>
      </c>
      <c r="L59" s="20" t="s">
        <v>61</v>
      </c>
      <c r="M59" s="20" t="s">
        <v>61</v>
      </c>
      <c r="N59" s="20" t="s">
        <v>61</v>
      </c>
      <c r="O59" s="20" t="s">
        <v>61</v>
      </c>
      <c r="P59" s="20" t="s">
        <v>61</v>
      </c>
      <c r="Q59" s="20" t="s">
        <v>61</v>
      </c>
      <c r="R59" s="3"/>
      <c r="S59" s="3"/>
      <c r="T59" s="3"/>
      <c r="U59" s="3"/>
      <c r="V59" s="3"/>
      <c r="Y59" s="25" t="s">
        <v>49</v>
      </c>
    </row>
    <row r="60" spans="1:256" ht="15" customHeight="1">
      <c r="A60" s="3"/>
      <c r="B60" s="3"/>
      <c r="C60" s="3" t="s">
        <v>49</v>
      </c>
      <c r="D60" s="3" t="s">
        <v>50</v>
      </c>
      <c r="E60" s="3" t="s">
        <v>49</v>
      </c>
      <c r="F60" s="3" t="s">
        <v>52</v>
      </c>
      <c r="G60" s="3" t="s">
        <v>48</v>
      </c>
      <c r="H60" s="3" t="s">
        <v>52</v>
      </c>
      <c r="I60" s="3" t="s">
        <v>52</v>
      </c>
      <c r="J60" s="3" t="s">
        <v>52</v>
      </c>
      <c r="K60" s="3" t="s">
        <v>52</v>
      </c>
      <c r="L60" s="3" t="s">
        <v>50</v>
      </c>
      <c r="M60" s="3" t="s">
        <v>52</v>
      </c>
      <c r="N60" s="3" t="s">
        <v>49</v>
      </c>
      <c r="O60" s="3" t="s">
        <v>51</v>
      </c>
      <c r="P60" s="3" t="s">
        <v>50</v>
      </c>
      <c r="Q60" s="3" t="s">
        <v>50</v>
      </c>
      <c r="R60" s="3"/>
      <c r="S60" s="3"/>
      <c r="T60" s="3"/>
      <c r="U60" s="3"/>
      <c r="V60" s="3"/>
    </row>
    <row r="61" spans="1:256">
      <c r="A61" s="127"/>
      <c r="B61" s="127"/>
      <c r="C61" s="123" t="s">
        <v>49</v>
      </c>
      <c r="D61" s="123" t="s">
        <v>49</v>
      </c>
      <c r="E61" s="123" t="s">
        <v>49</v>
      </c>
      <c r="F61" s="123" t="s">
        <v>49</v>
      </c>
      <c r="G61" s="123" t="s">
        <v>49</v>
      </c>
      <c r="H61" s="123" t="s">
        <v>49</v>
      </c>
      <c r="I61" s="123" t="s">
        <v>49</v>
      </c>
      <c r="J61" s="123" t="s">
        <v>51</v>
      </c>
      <c r="K61" s="123" t="s">
        <v>49</v>
      </c>
      <c r="L61" s="123" t="s">
        <v>50</v>
      </c>
      <c r="M61" s="123" t="s">
        <v>51</v>
      </c>
      <c r="N61" s="123" t="s">
        <v>49</v>
      </c>
      <c r="O61" s="123" t="s">
        <v>51</v>
      </c>
      <c r="P61" s="123" t="s">
        <v>50</v>
      </c>
      <c r="Q61" s="123" t="s">
        <v>52</v>
      </c>
      <c r="R61" s="127"/>
      <c r="S61" s="127"/>
      <c r="T61" s="127"/>
      <c r="U61" s="127"/>
      <c r="V61" s="127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  <c r="BN61" s="124"/>
      <c r="BO61" s="124"/>
      <c r="BP61" s="124"/>
      <c r="BQ61" s="124"/>
      <c r="BR61" s="124"/>
      <c r="BS61" s="124"/>
      <c r="BT61" s="124"/>
      <c r="BU61" s="124"/>
      <c r="BV61" s="124"/>
      <c r="BW61" s="124"/>
      <c r="BX61" s="124"/>
      <c r="BY61" s="124"/>
      <c r="BZ61" s="124"/>
      <c r="CA61" s="124"/>
      <c r="CB61" s="124"/>
      <c r="CC61" s="124"/>
      <c r="CD61" s="124"/>
      <c r="CE61" s="124"/>
      <c r="CF61" s="124"/>
      <c r="CG61" s="124"/>
      <c r="CH61" s="124"/>
      <c r="CI61" s="124"/>
      <c r="CJ61" s="124"/>
      <c r="CK61" s="124"/>
      <c r="CL61" s="124"/>
      <c r="CM61" s="124"/>
      <c r="CN61" s="124"/>
      <c r="CO61" s="124"/>
      <c r="CP61" s="124"/>
      <c r="CQ61" s="124"/>
      <c r="CR61" s="124"/>
      <c r="CS61" s="124"/>
      <c r="CT61" s="124"/>
      <c r="CU61" s="124"/>
      <c r="CV61" s="124"/>
      <c r="CW61" s="124"/>
      <c r="CX61" s="124"/>
      <c r="CY61" s="124"/>
      <c r="CZ61" s="124"/>
      <c r="DA61" s="124"/>
      <c r="DB61" s="124"/>
      <c r="DC61" s="124"/>
      <c r="DD61" s="124"/>
      <c r="DE61" s="124"/>
      <c r="DF61" s="124"/>
      <c r="DG61" s="124"/>
      <c r="DH61" s="124"/>
      <c r="DI61" s="124"/>
      <c r="DJ61" s="124"/>
      <c r="DK61" s="124"/>
      <c r="DL61" s="124"/>
      <c r="DM61" s="124"/>
      <c r="DN61" s="124"/>
      <c r="DO61" s="124"/>
      <c r="DP61" s="124"/>
      <c r="DQ61" s="124"/>
      <c r="DR61" s="124"/>
      <c r="DS61" s="124"/>
      <c r="DT61" s="124"/>
      <c r="DU61" s="124"/>
      <c r="DV61" s="124"/>
      <c r="DW61" s="124"/>
      <c r="DX61" s="124"/>
      <c r="DY61" s="124"/>
      <c r="DZ61" s="124"/>
      <c r="EA61" s="124"/>
      <c r="EB61" s="124"/>
      <c r="EC61" s="124"/>
      <c r="ED61" s="124"/>
      <c r="EE61" s="124"/>
      <c r="EF61" s="124"/>
      <c r="EG61" s="124"/>
      <c r="EH61" s="124"/>
      <c r="EI61" s="124"/>
      <c r="EJ61" s="124"/>
      <c r="EK61" s="124"/>
      <c r="EL61" s="124"/>
      <c r="EM61" s="124"/>
      <c r="EN61" s="124"/>
      <c r="EO61" s="124"/>
      <c r="EP61" s="124"/>
      <c r="EQ61" s="124"/>
      <c r="ER61" s="124"/>
      <c r="ES61" s="124"/>
      <c r="ET61" s="124"/>
      <c r="EU61" s="124"/>
      <c r="EV61" s="124"/>
      <c r="EW61" s="124"/>
      <c r="EX61" s="124"/>
      <c r="EY61" s="124"/>
      <c r="EZ61" s="124"/>
      <c r="FA61" s="124"/>
      <c r="FB61" s="124"/>
      <c r="FC61" s="124"/>
      <c r="FD61" s="124"/>
      <c r="FE61" s="124"/>
      <c r="FF61" s="124"/>
      <c r="FG61" s="124"/>
      <c r="FH61" s="124"/>
      <c r="FI61" s="124"/>
      <c r="FJ61" s="124"/>
      <c r="FK61" s="124"/>
      <c r="FL61" s="124"/>
      <c r="FM61" s="124"/>
      <c r="FN61" s="124"/>
      <c r="FO61" s="124"/>
      <c r="FP61" s="124"/>
      <c r="FQ61" s="124"/>
      <c r="FR61" s="124"/>
      <c r="FS61" s="124"/>
      <c r="FT61" s="124"/>
      <c r="FU61" s="124"/>
      <c r="FV61" s="124"/>
      <c r="FW61" s="124"/>
      <c r="FX61" s="124"/>
      <c r="FY61" s="124"/>
      <c r="FZ61" s="124"/>
      <c r="GA61" s="124"/>
      <c r="GB61" s="124"/>
      <c r="GC61" s="124"/>
      <c r="GD61" s="124"/>
      <c r="GE61" s="124"/>
      <c r="GF61" s="124"/>
      <c r="GG61" s="124"/>
      <c r="GH61" s="124"/>
      <c r="GI61" s="124"/>
      <c r="GJ61" s="124"/>
      <c r="GK61" s="124"/>
      <c r="GL61" s="124"/>
      <c r="GM61" s="124"/>
      <c r="GN61" s="124"/>
      <c r="GO61" s="124"/>
      <c r="GP61" s="124"/>
      <c r="GQ61" s="124"/>
      <c r="GR61" s="124"/>
      <c r="GS61" s="124"/>
      <c r="GT61" s="124"/>
      <c r="GU61" s="124"/>
      <c r="GV61" s="124"/>
      <c r="GW61" s="124"/>
      <c r="GX61" s="124"/>
      <c r="GY61" s="124"/>
      <c r="GZ61" s="124"/>
      <c r="HA61" s="124"/>
      <c r="HB61" s="124"/>
      <c r="HC61" s="124"/>
      <c r="HD61" s="124"/>
      <c r="HE61" s="124"/>
      <c r="HF61" s="124"/>
      <c r="HG61" s="124"/>
      <c r="HH61" s="124"/>
      <c r="HI61" s="124"/>
      <c r="HJ61" s="124"/>
      <c r="HK61" s="124"/>
      <c r="HL61" s="124"/>
      <c r="HM61" s="124"/>
      <c r="HN61" s="124"/>
      <c r="HO61" s="124"/>
      <c r="HP61" s="124"/>
      <c r="HQ61" s="124"/>
      <c r="HR61" s="124"/>
      <c r="HS61" s="124"/>
      <c r="HT61" s="124"/>
      <c r="HU61" s="124"/>
      <c r="HV61" s="124"/>
      <c r="HW61" s="124"/>
      <c r="HX61" s="124"/>
      <c r="HY61" s="124"/>
      <c r="HZ61" s="124"/>
      <c r="IA61" s="124"/>
      <c r="IB61" s="124"/>
      <c r="IC61" s="124"/>
      <c r="ID61" s="124"/>
      <c r="IE61" s="124"/>
      <c r="IF61" s="124"/>
      <c r="IG61" s="124"/>
      <c r="IH61" s="124"/>
      <c r="II61" s="124"/>
      <c r="IJ61" s="124"/>
      <c r="IK61" s="124"/>
      <c r="IL61" s="124"/>
      <c r="IM61" s="124"/>
      <c r="IN61" s="124"/>
      <c r="IO61" s="124"/>
      <c r="IP61" s="124"/>
      <c r="IQ61" s="124"/>
      <c r="IR61" s="124"/>
      <c r="IS61" s="124"/>
      <c r="IT61" s="124"/>
      <c r="IU61" s="124"/>
      <c r="IV61" s="124"/>
    </row>
    <row r="62" spans="1:256" hidden="1">
      <c r="A62" s="3" t="s">
        <v>53</v>
      </c>
      <c r="B62" s="3"/>
      <c r="C62" s="3">
        <f>IF(C61="",0,IF(C61=C60,1,-0.25))</f>
        <v>1</v>
      </c>
      <c r="D62" s="3">
        <f t="shared" ref="D62:Q62" si="3">IF(D61="",0,IF(D61=D60,1,-0.25))</f>
        <v>-0.25</v>
      </c>
      <c r="E62" s="3">
        <f t="shared" si="3"/>
        <v>1</v>
      </c>
      <c r="F62" s="3">
        <f t="shared" si="3"/>
        <v>-0.25</v>
      </c>
      <c r="G62" s="3">
        <f t="shared" si="3"/>
        <v>-0.25</v>
      </c>
      <c r="H62" s="3">
        <f t="shared" si="3"/>
        <v>-0.25</v>
      </c>
      <c r="I62" s="3">
        <f t="shared" si="3"/>
        <v>-0.25</v>
      </c>
      <c r="J62" s="3">
        <f t="shared" si="3"/>
        <v>-0.25</v>
      </c>
      <c r="K62" s="3">
        <f t="shared" si="3"/>
        <v>-0.25</v>
      </c>
      <c r="L62" s="3">
        <f t="shared" si="3"/>
        <v>1</v>
      </c>
      <c r="M62" s="3">
        <f t="shared" si="3"/>
        <v>-0.25</v>
      </c>
      <c r="N62" s="3">
        <f t="shared" si="3"/>
        <v>1</v>
      </c>
      <c r="O62" s="3">
        <f t="shared" si="3"/>
        <v>1</v>
      </c>
      <c r="P62" s="3">
        <f t="shared" si="3"/>
        <v>1</v>
      </c>
      <c r="Q62" s="3">
        <f t="shared" si="3"/>
        <v>-0.25</v>
      </c>
      <c r="R62" s="4"/>
      <c r="S62" s="4"/>
      <c r="T62" s="4"/>
      <c r="U62" s="4"/>
      <c r="V62" s="4"/>
    </row>
    <row r="63" spans="1:256">
      <c r="A63" s="9" t="s">
        <v>7</v>
      </c>
      <c r="B63" s="1"/>
      <c r="C63" s="9" t="s">
        <v>77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56">
      <c r="A65" s="1" t="s">
        <v>1</v>
      </c>
      <c r="B65" s="1"/>
      <c r="C65" s="24">
        <v>1</v>
      </c>
      <c r="D65" s="24">
        <v>2</v>
      </c>
      <c r="E65" s="24">
        <v>3</v>
      </c>
      <c r="F65" s="24">
        <v>4</v>
      </c>
      <c r="G65" s="24">
        <v>5</v>
      </c>
      <c r="H65" s="24">
        <v>6</v>
      </c>
      <c r="I65" s="24">
        <v>7</v>
      </c>
      <c r="J65" s="24">
        <v>8</v>
      </c>
      <c r="K65" s="24">
        <v>9</v>
      </c>
      <c r="L65" s="24">
        <v>10</v>
      </c>
      <c r="M65" s="24">
        <v>11</v>
      </c>
      <c r="N65" s="24">
        <v>12</v>
      </c>
      <c r="O65" s="24">
        <v>13</v>
      </c>
      <c r="P65" s="24">
        <v>14</v>
      </c>
      <c r="Q65" s="24">
        <v>15</v>
      </c>
      <c r="R65" s="24">
        <v>16</v>
      </c>
      <c r="S65" s="24">
        <v>17</v>
      </c>
      <c r="T65" s="24">
        <v>18</v>
      </c>
      <c r="U65" s="1"/>
      <c r="V65" s="1"/>
    </row>
    <row r="66" spans="1:256">
      <c r="A66" s="1" t="s">
        <v>2</v>
      </c>
      <c r="B66" s="1"/>
      <c r="C66" s="18" t="s">
        <v>54</v>
      </c>
      <c r="D66" s="18" t="s">
        <v>50</v>
      </c>
      <c r="E66" s="18" t="s">
        <v>52</v>
      </c>
      <c r="F66" s="18" t="s">
        <v>55</v>
      </c>
      <c r="G66" s="18" t="s">
        <v>56</v>
      </c>
      <c r="H66" s="18" t="s">
        <v>50</v>
      </c>
      <c r="I66" s="18" t="s">
        <v>56</v>
      </c>
      <c r="J66" s="18" t="s">
        <v>50</v>
      </c>
      <c r="K66" s="18" t="s">
        <v>54</v>
      </c>
      <c r="L66" s="18" t="s">
        <v>50</v>
      </c>
      <c r="M66" s="18" t="s">
        <v>52</v>
      </c>
      <c r="N66" s="18" t="s">
        <v>50</v>
      </c>
      <c r="O66" s="18" t="s">
        <v>50</v>
      </c>
      <c r="P66" s="18" t="s">
        <v>55</v>
      </c>
      <c r="Q66" s="18" t="s">
        <v>50</v>
      </c>
      <c r="R66" s="18" t="s">
        <v>50</v>
      </c>
      <c r="S66" s="18" t="s">
        <v>54</v>
      </c>
      <c r="T66" s="18" t="s">
        <v>56</v>
      </c>
      <c r="U66" s="1"/>
      <c r="V66" s="1"/>
    </row>
    <row r="67" spans="1:256" ht="27" customHeight="1">
      <c r="A67" s="1" t="s">
        <v>3</v>
      </c>
      <c r="B67" s="1"/>
      <c r="C67" s="1" t="s">
        <v>51</v>
      </c>
      <c r="D67" s="1" t="s">
        <v>49</v>
      </c>
      <c r="E67" s="1" t="s">
        <v>51</v>
      </c>
      <c r="F67" s="1" t="s">
        <v>50</v>
      </c>
      <c r="G67" s="1" t="s">
        <v>52</v>
      </c>
      <c r="H67" s="1" t="s">
        <v>50</v>
      </c>
      <c r="I67" s="1" t="s">
        <v>48</v>
      </c>
      <c r="J67" s="1" t="s">
        <v>51</v>
      </c>
      <c r="K67" s="1">
        <v>108</v>
      </c>
      <c r="L67" s="1">
        <v>0.5</v>
      </c>
      <c r="M67" s="1">
        <v>1300</v>
      </c>
      <c r="N67" s="1">
        <v>24</v>
      </c>
      <c r="O67" s="1">
        <v>300</v>
      </c>
      <c r="P67" s="1">
        <v>11</v>
      </c>
      <c r="Q67" s="1">
        <v>0.66600000000000004</v>
      </c>
      <c r="R67" s="1" t="s">
        <v>62</v>
      </c>
      <c r="S67" s="1">
        <v>2491</v>
      </c>
      <c r="T67" s="1">
        <v>23.3</v>
      </c>
      <c r="U67" s="1"/>
      <c r="V67" s="1"/>
    </row>
    <row r="68" spans="1:256" ht="18" customHeight="1">
      <c r="A68" s="128" t="s">
        <v>4</v>
      </c>
      <c r="B68" s="128"/>
      <c r="C68" s="123" t="s">
        <v>51</v>
      </c>
      <c r="D68" s="123" t="s">
        <v>49</v>
      </c>
      <c r="E68" s="123" t="s">
        <v>50</v>
      </c>
      <c r="F68" s="123" t="s">
        <v>50</v>
      </c>
      <c r="G68" s="123" t="s">
        <v>48</v>
      </c>
      <c r="H68" s="123" t="s">
        <v>49</v>
      </c>
      <c r="I68" s="123" t="s">
        <v>49</v>
      </c>
      <c r="J68" s="123" t="s">
        <v>48</v>
      </c>
      <c r="K68" s="123">
        <v>108</v>
      </c>
      <c r="L68" s="123">
        <v>0.5</v>
      </c>
      <c r="M68" s="123">
        <v>6800</v>
      </c>
      <c r="N68" s="123">
        <v>2.4</v>
      </c>
      <c r="O68" s="123"/>
      <c r="P68" s="123">
        <v>6</v>
      </c>
      <c r="Q68" s="123"/>
      <c r="R68" s="123"/>
      <c r="S68" s="123"/>
      <c r="T68" s="123"/>
      <c r="U68" s="128"/>
      <c r="V68" s="128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24"/>
      <c r="BR68" s="124"/>
      <c r="BS68" s="124"/>
      <c r="BT68" s="124"/>
      <c r="BU68" s="124"/>
      <c r="BV68" s="124"/>
      <c r="BW68" s="124"/>
      <c r="BX68" s="124"/>
      <c r="BY68" s="124"/>
      <c r="BZ68" s="124"/>
      <c r="CA68" s="124"/>
      <c r="CB68" s="124"/>
      <c r="CC68" s="124"/>
      <c r="CD68" s="124"/>
      <c r="CE68" s="124"/>
      <c r="CF68" s="124"/>
      <c r="CG68" s="124"/>
      <c r="CH68" s="124"/>
      <c r="CI68" s="124"/>
      <c r="CJ68" s="124"/>
      <c r="CK68" s="124"/>
      <c r="CL68" s="124"/>
      <c r="CM68" s="124"/>
      <c r="CN68" s="124"/>
      <c r="CO68" s="124"/>
      <c r="CP68" s="124"/>
      <c r="CQ68" s="124"/>
      <c r="CR68" s="124"/>
      <c r="CS68" s="124"/>
      <c r="CT68" s="124"/>
      <c r="CU68" s="124"/>
      <c r="CV68" s="124"/>
      <c r="CW68" s="124"/>
      <c r="CX68" s="124"/>
      <c r="CY68" s="124"/>
      <c r="CZ68" s="124"/>
      <c r="DA68" s="124"/>
      <c r="DB68" s="124"/>
      <c r="DC68" s="124"/>
      <c r="DD68" s="124"/>
      <c r="DE68" s="124"/>
      <c r="DF68" s="124"/>
      <c r="DG68" s="124"/>
      <c r="DH68" s="124"/>
      <c r="DI68" s="124"/>
      <c r="DJ68" s="124"/>
      <c r="DK68" s="124"/>
      <c r="DL68" s="124"/>
      <c r="DM68" s="124"/>
      <c r="DN68" s="124"/>
      <c r="DO68" s="124"/>
      <c r="DP68" s="124"/>
      <c r="DQ68" s="124"/>
      <c r="DR68" s="124"/>
      <c r="DS68" s="124"/>
      <c r="DT68" s="124"/>
      <c r="DU68" s="124"/>
      <c r="DV68" s="124"/>
      <c r="DW68" s="124"/>
      <c r="DX68" s="124"/>
      <c r="DY68" s="124"/>
      <c r="DZ68" s="124"/>
      <c r="EA68" s="124"/>
      <c r="EB68" s="124"/>
      <c r="EC68" s="124"/>
      <c r="ED68" s="124"/>
      <c r="EE68" s="124"/>
      <c r="EF68" s="124"/>
      <c r="EG68" s="124"/>
      <c r="EH68" s="124"/>
      <c r="EI68" s="124"/>
      <c r="EJ68" s="124"/>
      <c r="EK68" s="124"/>
      <c r="EL68" s="124"/>
      <c r="EM68" s="124"/>
      <c r="EN68" s="124"/>
      <c r="EO68" s="124"/>
      <c r="EP68" s="124"/>
      <c r="EQ68" s="124"/>
      <c r="ER68" s="124"/>
      <c r="ES68" s="124"/>
      <c r="ET68" s="124"/>
      <c r="EU68" s="124"/>
      <c r="EV68" s="124"/>
      <c r="EW68" s="124"/>
      <c r="EX68" s="124"/>
      <c r="EY68" s="124"/>
      <c r="EZ68" s="124"/>
      <c r="FA68" s="124"/>
      <c r="FB68" s="124"/>
      <c r="FC68" s="124"/>
      <c r="FD68" s="124"/>
      <c r="FE68" s="124"/>
      <c r="FF68" s="124"/>
      <c r="FG68" s="124"/>
      <c r="FH68" s="124"/>
      <c r="FI68" s="124"/>
      <c r="FJ68" s="124"/>
      <c r="FK68" s="124"/>
      <c r="FL68" s="124"/>
      <c r="FM68" s="124"/>
      <c r="FN68" s="124"/>
      <c r="FO68" s="124"/>
      <c r="FP68" s="124"/>
      <c r="FQ68" s="124"/>
      <c r="FR68" s="124"/>
      <c r="FS68" s="124"/>
      <c r="FT68" s="124"/>
      <c r="FU68" s="124"/>
      <c r="FV68" s="124"/>
      <c r="FW68" s="124"/>
      <c r="FX68" s="124"/>
      <c r="FY68" s="124"/>
      <c r="FZ68" s="124"/>
      <c r="GA68" s="124"/>
      <c r="GB68" s="124"/>
      <c r="GC68" s="124"/>
      <c r="GD68" s="124"/>
      <c r="GE68" s="124"/>
      <c r="GF68" s="124"/>
      <c r="GG68" s="124"/>
      <c r="GH68" s="124"/>
      <c r="GI68" s="124"/>
      <c r="GJ68" s="124"/>
      <c r="GK68" s="124"/>
      <c r="GL68" s="124"/>
      <c r="GM68" s="124"/>
      <c r="GN68" s="124"/>
      <c r="GO68" s="124"/>
      <c r="GP68" s="124"/>
      <c r="GQ68" s="124"/>
      <c r="GR68" s="124"/>
      <c r="GS68" s="124"/>
      <c r="GT68" s="124"/>
      <c r="GU68" s="124"/>
      <c r="GV68" s="124"/>
      <c r="GW68" s="124"/>
      <c r="GX68" s="124"/>
      <c r="GY68" s="124"/>
      <c r="GZ68" s="124"/>
      <c r="HA68" s="124"/>
      <c r="HB68" s="124"/>
      <c r="HC68" s="124"/>
      <c r="HD68" s="124"/>
      <c r="HE68" s="124"/>
      <c r="HF68" s="124"/>
      <c r="HG68" s="124"/>
      <c r="HH68" s="124"/>
      <c r="HI68" s="124"/>
      <c r="HJ68" s="124"/>
      <c r="HK68" s="124"/>
      <c r="HL68" s="124"/>
      <c r="HM68" s="124"/>
      <c r="HN68" s="124"/>
      <c r="HO68" s="124"/>
      <c r="HP68" s="124"/>
      <c r="HQ68" s="124"/>
      <c r="HR68" s="124"/>
      <c r="HS68" s="124"/>
      <c r="HT68" s="124"/>
      <c r="HU68" s="124"/>
      <c r="HV68" s="124"/>
      <c r="HW68" s="124"/>
      <c r="HX68" s="124"/>
      <c r="HY68" s="124"/>
      <c r="HZ68" s="124"/>
      <c r="IA68" s="124"/>
      <c r="IB68" s="124"/>
      <c r="IC68" s="124"/>
      <c r="ID68" s="124"/>
      <c r="IE68" s="124"/>
      <c r="IF68" s="124"/>
      <c r="IG68" s="124"/>
      <c r="IH68" s="124"/>
      <c r="II68" s="124"/>
      <c r="IJ68" s="124"/>
      <c r="IK68" s="124"/>
      <c r="IL68" s="124"/>
      <c r="IM68" s="124"/>
      <c r="IN68" s="124"/>
      <c r="IO68" s="124"/>
      <c r="IP68" s="124"/>
      <c r="IQ68" s="124"/>
      <c r="IR68" s="124"/>
      <c r="IS68" s="124"/>
      <c r="IT68" s="124"/>
      <c r="IU68" s="124"/>
      <c r="IV68" s="124"/>
    </row>
    <row r="69" spans="1:256">
      <c r="A69" s="1" t="s">
        <v>53</v>
      </c>
      <c r="B69" s="1"/>
      <c r="C69" s="1">
        <f t="shared" ref="C69:J69" si="4">IF(C68="",0,IF(C68=C67,1,-0.25))</f>
        <v>1</v>
      </c>
      <c r="D69" s="1">
        <f t="shared" si="4"/>
        <v>1</v>
      </c>
      <c r="E69" s="1">
        <f t="shared" si="4"/>
        <v>-0.25</v>
      </c>
      <c r="F69" s="1">
        <f t="shared" si="4"/>
        <v>1</v>
      </c>
      <c r="G69" s="1">
        <f t="shared" si="4"/>
        <v>-0.25</v>
      </c>
      <c r="H69" s="1">
        <f t="shared" si="4"/>
        <v>-0.25</v>
      </c>
      <c r="I69" s="1">
        <f t="shared" si="4"/>
        <v>-0.25</v>
      </c>
      <c r="J69" s="1">
        <f t="shared" si="4"/>
        <v>-0.25</v>
      </c>
      <c r="K69" s="1">
        <f t="shared" ref="K69:Q69" si="5">IF(K68=K67,1,IF(K68="",0,"inc"))</f>
        <v>1</v>
      </c>
      <c r="L69" s="1">
        <f t="shared" si="5"/>
        <v>1</v>
      </c>
      <c r="M69" s="1" t="str">
        <f t="shared" si="5"/>
        <v>inc</v>
      </c>
      <c r="N69" s="1" t="str">
        <f t="shared" si="5"/>
        <v>inc</v>
      </c>
      <c r="O69" s="1">
        <f t="shared" si="5"/>
        <v>0</v>
      </c>
      <c r="P69" s="1" t="str">
        <f t="shared" si="5"/>
        <v>inc</v>
      </c>
      <c r="Q69" s="1">
        <f t="shared" si="5"/>
        <v>0</v>
      </c>
      <c r="R69" s="1">
        <f>IF(R68&gt;3,IF(R68&lt;4,1,IF(R68="",0,"inc")),IF(R68="",0,"inc"))</f>
        <v>0</v>
      </c>
      <c r="S69" s="1">
        <f>IF(S68=S67,1,IF(S68="",0,"inc"))</f>
        <v>0</v>
      </c>
      <c r="T69" s="1">
        <f>IF(T68=T67,1,IF(T68="",0,"inc"))</f>
        <v>0</v>
      </c>
      <c r="U69" s="1"/>
      <c r="V69" s="1"/>
    </row>
    <row r="70" spans="1:256">
      <c r="A70" s="8" t="s">
        <v>8</v>
      </c>
      <c r="B70" s="2"/>
      <c r="C70" s="8" t="s">
        <v>78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5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56">
      <c r="A72" s="2" t="s">
        <v>1</v>
      </c>
      <c r="B72" s="2"/>
      <c r="C72" s="23">
        <v>1</v>
      </c>
      <c r="D72" s="23">
        <v>2</v>
      </c>
      <c r="E72" s="23">
        <v>3</v>
      </c>
      <c r="F72" s="23">
        <v>4</v>
      </c>
      <c r="G72" s="23">
        <v>5</v>
      </c>
      <c r="H72" s="23">
        <v>6</v>
      </c>
      <c r="I72" s="23">
        <v>7</v>
      </c>
      <c r="J72" s="23">
        <v>8</v>
      </c>
      <c r="K72" s="23">
        <v>9</v>
      </c>
      <c r="L72" s="23">
        <v>10</v>
      </c>
      <c r="M72" s="23">
        <v>11</v>
      </c>
      <c r="N72" s="23">
        <v>12</v>
      </c>
      <c r="O72" s="23">
        <v>13</v>
      </c>
      <c r="P72" s="23">
        <v>14</v>
      </c>
      <c r="Q72" s="23">
        <v>15</v>
      </c>
      <c r="R72" s="23">
        <v>16</v>
      </c>
      <c r="S72" s="23">
        <v>17</v>
      </c>
      <c r="T72" s="23">
        <v>18</v>
      </c>
      <c r="U72" s="23">
        <v>19</v>
      </c>
      <c r="V72" s="23">
        <v>20</v>
      </c>
    </row>
    <row r="73" spans="1:256">
      <c r="A73" s="2" t="s">
        <v>2</v>
      </c>
      <c r="B73" s="2"/>
      <c r="C73" s="19" t="s">
        <v>57</v>
      </c>
      <c r="D73" s="19" t="s">
        <v>57</v>
      </c>
      <c r="E73" s="19" t="s">
        <v>57</v>
      </c>
      <c r="F73" s="19" t="s">
        <v>57</v>
      </c>
      <c r="G73" s="19" t="s">
        <v>57</v>
      </c>
      <c r="H73" s="19" t="s">
        <v>57</v>
      </c>
      <c r="I73" s="19" t="s">
        <v>57</v>
      </c>
      <c r="J73" s="19" t="s">
        <v>57</v>
      </c>
      <c r="K73" s="19" t="s">
        <v>58</v>
      </c>
      <c r="L73" s="19" t="s">
        <v>58</v>
      </c>
      <c r="M73" s="19" t="s">
        <v>58</v>
      </c>
      <c r="N73" s="19" t="s">
        <v>58</v>
      </c>
      <c r="O73" s="19" t="s">
        <v>58</v>
      </c>
      <c r="P73" s="19" t="s">
        <v>58</v>
      </c>
      <c r="Q73" s="19" t="s">
        <v>58</v>
      </c>
      <c r="R73" s="19" t="s">
        <v>58</v>
      </c>
      <c r="S73" s="19" t="s">
        <v>58</v>
      </c>
      <c r="T73" s="19" t="s">
        <v>58</v>
      </c>
      <c r="U73" s="19" t="s">
        <v>58</v>
      </c>
      <c r="V73" s="19" t="s">
        <v>58</v>
      </c>
    </row>
    <row r="74" spans="1:256">
      <c r="A74" s="2" t="s">
        <v>3</v>
      </c>
      <c r="B74" s="2"/>
      <c r="C74" s="2" t="s">
        <v>52</v>
      </c>
      <c r="D74" s="2" t="s">
        <v>48</v>
      </c>
      <c r="E74" s="2" t="s">
        <v>50</v>
      </c>
      <c r="F74" s="2" t="s">
        <v>51</v>
      </c>
      <c r="G74" s="2" t="s">
        <v>48</v>
      </c>
      <c r="H74" s="2" t="s">
        <v>48</v>
      </c>
      <c r="I74" s="2" t="s">
        <v>49</v>
      </c>
      <c r="J74" s="2" t="s">
        <v>49</v>
      </c>
      <c r="K74" s="2" t="s">
        <v>52</v>
      </c>
      <c r="L74" s="2" t="s">
        <v>51</v>
      </c>
      <c r="M74" s="2" t="s">
        <v>52</v>
      </c>
      <c r="N74" s="2" t="s">
        <v>51</v>
      </c>
      <c r="O74" s="2" t="s">
        <v>48</v>
      </c>
      <c r="P74" s="2" t="s">
        <v>52</v>
      </c>
      <c r="Q74" s="2" t="s">
        <v>49</v>
      </c>
      <c r="R74" s="2" t="s">
        <v>50</v>
      </c>
      <c r="S74" s="2" t="s">
        <v>52</v>
      </c>
      <c r="T74" s="2" t="s">
        <v>49</v>
      </c>
      <c r="U74" s="2" t="s">
        <v>52</v>
      </c>
      <c r="V74" s="2" t="s">
        <v>50</v>
      </c>
    </row>
    <row r="75" spans="1:256">
      <c r="A75" s="125" t="s">
        <v>4</v>
      </c>
      <c r="B75" s="125"/>
      <c r="C75" s="123" t="s">
        <v>52</v>
      </c>
      <c r="D75" s="123" t="s">
        <v>50</v>
      </c>
      <c r="E75" s="123" t="s">
        <v>50</v>
      </c>
      <c r="F75" s="123" t="s">
        <v>51</v>
      </c>
      <c r="G75" s="123" t="s">
        <v>48</v>
      </c>
      <c r="H75" s="123" t="s">
        <v>48</v>
      </c>
      <c r="I75" s="123" t="s">
        <v>49</v>
      </c>
      <c r="J75" s="123" t="s">
        <v>52</v>
      </c>
      <c r="K75" s="123" t="s">
        <v>52</v>
      </c>
      <c r="L75" s="123" t="s">
        <v>49</v>
      </c>
      <c r="M75" s="123" t="s">
        <v>52</v>
      </c>
      <c r="N75" s="123" t="s">
        <v>48</v>
      </c>
      <c r="O75" s="123" t="s">
        <v>50</v>
      </c>
      <c r="P75" s="123" t="s">
        <v>49</v>
      </c>
      <c r="Q75" s="123" t="s">
        <v>50</v>
      </c>
      <c r="R75" s="123" t="s">
        <v>50</v>
      </c>
      <c r="S75" s="123" t="s">
        <v>50</v>
      </c>
      <c r="T75" s="123" t="s">
        <v>48</v>
      </c>
      <c r="U75" s="123" t="s">
        <v>50</v>
      </c>
      <c r="V75" s="123" t="s">
        <v>51</v>
      </c>
      <c r="W75" s="123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124"/>
      <c r="AP75" s="124"/>
      <c r="AQ75" s="124"/>
      <c r="AR75" s="124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  <c r="BO75" s="124"/>
      <c r="BP75" s="124"/>
      <c r="BQ75" s="124"/>
      <c r="BR75" s="124"/>
      <c r="BS75" s="124"/>
      <c r="BT75" s="124"/>
      <c r="BU75" s="124"/>
      <c r="BV75" s="124"/>
      <c r="BW75" s="124"/>
      <c r="BX75" s="124"/>
      <c r="BY75" s="124"/>
      <c r="BZ75" s="124"/>
      <c r="CA75" s="124"/>
      <c r="CB75" s="124"/>
      <c r="CC75" s="124"/>
      <c r="CD75" s="124"/>
      <c r="CE75" s="124"/>
      <c r="CF75" s="124"/>
      <c r="CG75" s="124"/>
      <c r="CH75" s="124"/>
      <c r="CI75" s="124"/>
      <c r="CJ75" s="124"/>
      <c r="CK75" s="124"/>
      <c r="CL75" s="124"/>
      <c r="CM75" s="124"/>
      <c r="CN75" s="124"/>
      <c r="CO75" s="124"/>
      <c r="CP75" s="124"/>
      <c r="CQ75" s="124"/>
      <c r="CR75" s="124"/>
      <c r="CS75" s="124"/>
      <c r="CT75" s="124"/>
      <c r="CU75" s="124"/>
      <c r="CV75" s="124"/>
      <c r="CW75" s="124"/>
      <c r="CX75" s="124"/>
      <c r="CY75" s="124"/>
      <c r="CZ75" s="124"/>
      <c r="DA75" s="124"/>
      <c r="DB75" s="124"/>
      <c r="DC75" s="124"/>
      <c r="DD75" s="124"/>
      <c r="DE75" s="124"/>
      <c r="DF75" s="124"/>
      <c r="DG75" s="124"/>
      <c r="DH75" s="124"/>
      <c r="DI75" s="124"/>
      <c r="DJ75" s="124"/>
      <c r="DK75" s="124"/>
      <c r="DL75" s="124"/>
      <c r="DM75" s="124"/>
      <c r="DN75" s="124"/>
      <c r="DO75" s="124"/>
      <c r="DP75" s="124"/>
      <c r="DQ75" s="124"/>
      <c r="DR75" s="124"/>
      <c r="DS75" s="124"/>
      <c r="DT75" s="124"/>
      <c r="DU75" s="124"/>
      <c r="DV75" s="124"/>
      <c r="DW75" s="124"/>
      <c r="DX75" s="124"/>
      <c r="DY75" s="124"/>
      <c r="DZ75" s="124"/>
      <c r="EA75" s="124"/>
      <c r="EB75" s="124"/>
      <c r="EC75" s="124"/>
      <c r="ED75" s="124"/>
      <c r="EE75" s="124"/>
      <c r="EF75" s="124"/>
      <c r="EG75" s="124"/>
      <c r="EH75" s="124"/>
      <c r="EI75" s="124"/>
      <c r="EJ75" s="124"/>
      <c r="EK75" s="124"/>
      <c r="EL75" s="124"/>
      <c r="EM75" s="124"/>
      <c r="EN75" s="124"/>
      <c r="EO75" s="124"/>
      <c r="EP75" s="124"/>
      <c r="EQ75" s="124"/>
      <c r="ER75" s="124"/>
      <c r="ES75" s="124"/>
      <c r="ET75" s="124"/>
      <c r="EU75" s="124"/>
      <c r="EV75" s="124"/>
      <c r="EW75" s="124"/>
      <c r="EX75" s="124"/>
      <c r="EY75" s="124"/>
      <c r="EZ75" s="124"/>
      <c r="FA75" s="124"/>
      <c r="FB75" s="124"/>
      <c r="FC75" s="124"/>
      <c r="FD75" s="124"/>
      <c r="FE75" s="124"/>
      <c r="FF75" s="124"/>
      <c r="FG75" s="124"/>
      <c r="FH75" s="124"/>
      <c r="FI75" s="124"/>
      <c r="FJ75" s="124"/>
      <c r="FK75" s="124"/>
      <c r="FL75" s="124"/>
      <c r="FM75" s="124"/>
      <c r="FN75" s="124"/>
      <c r="FO75" s="124"/>
      <c r="FP75" s="124"/>
      <c r="FQ75" s="124"/>
      <c r="FR75" s="124"/>
      <c r="FS75" s="124"/>
      <c r="FT75" s="124"/>
      <c r="FU75" s="124"/>
      <c r="FV75" s="124"/>
      <c r="FW75" s="124"/>
      <c r="FX75" s="124"/>
      <c r="FY75" s="124"/>
      <c r="FZ75" s="124"/>
      <c r="GA75" s="124"/>
      <c r="GB75" s="124"/>
      <c r="GC75" s="124"/>
      <c r="GD75" s="124"/>
      <c r="GE75" s="124"/>
      <c r="GF75" s="124"/>
      <c r="GG75" s="124"/>
      <c r="GH75" s="124"/>
      <c r="GI75" s="124"/>
      <c r="GJ75" s="124"/>
      <c r="GK75" s="124"/>
      <c r="GL75" s="124"/>
      <c r="GM75" s="124"/>
      <c r="GN75" s="124"/>
      <c r="GO75" s="124"/>
      <c r="GP75" s="124"/>
      <c r="GQ75" s="124"/>
      <c r="GR75" s="124"/>
      <c r="GS75" s="124"/>
      <c r="GT75" s="124"/>
      <c r="GU75" s="124"/>
      <c r="GV75" s="124"/>
      <c r="GW75" s="124"/>
      <c r="GX75" s="124"/>
      <c r="GY75" s="124"/>
      <c r="GZ75" s="124"/>
      <c r="HA75" s="124"/>
      <c r="HB75" s="124"/>
      <c r="HC75" s="124"/>
      <c r="HD75" s="124"/>
      <c r="HE75" s="124"/>
      <c r="HF75" s="124"/>
      <c r="HG75" s="124"/>
      <c r="HH75" s="124"/>
      <c r="HI75" s="124"/>
      <c r="HJ75" s="124"/>
      <c r="HK75" s="124"/>
      <c r="HL75" s="124"/>
      <c r="HM75" s="124"/>
      <c r="HN75" s="124"/>
      <c r="HO75" s="124"/>
      <c r="HP75" s="124"/>
      <c r="HQ75" s="124"/>
      <c r="HR75" s="124"/>
      <c r="HS75" s="124"/>
      <c r="HT75" s="124"/>
      <c r="HU75" s="124"/>
      <c r="HV75" s="124"/>
      <c r="HW75" s="124"/>
      <c r="HX75" s="124"/>
      <c r="HY75" s="124"/>
      <c r="HZ75" s="124"/>
      <c r="IA75" s="124"/>
      <c r="IB75" s="124"/>
      <c r="IC75" s="124"/>
      <c r="ID75" s="124"/>
      <c r="IE75" s="124"/>
      <c r="IF75" s="124"/>
      <c r="IG75" s="124"/>
      <c r="IH75" s="124"/>
      <c r="II75" s="124"/>
      <c r="IJ75" s="124"/>
      <c r="IK75" s="124"/>
      <c r="IL75" s="124"/>
      <c r="IM75" s="124"/>
      <c r="IN75" s="124"/>
      <c r="IO75" s="124"/>
      <c r="IP75" s="124"/>
      <c r="IQ75" s="124"/>
      <c r="IR75" s="124"/>
      <c r="IS75" s="124"/>
      <c r="IT75" s="124"/>
      <c r="IU75" s="124"/>
      <c r="IV75" s="124"/>
    </row>
    <row r="76" spans="1:256" hidden="1">
      <c r="A76" s="2" t="s">
        <v>53</v>
      </c>
      <c r="B76" s="2"/>
      <c r="C76" s="2">
        <f>IF(C75="",0,IF(C75=C74,1,-0.25))</f>
        <v>1</v>
      </c>
      <c r="D76" s="2">
        <f t="shared" ref="D76:V76" si="6">IF(D75="",0,IF(D75=D74,1,-0.25))</f>
        <v>-0.25</v>
      </c>
      <c r="E76" s="2">
        <f t="shared" si="6"/>
        <v>1</v>
      </c>
      <c r="F76" s="2">
        <f t="shared" si="6"/>
        <v>1</v>
      </c>
      <c r="G76" s="2">
        <f t="shared" si="6"/>
        <v>1</v>
      </c>
      <c r="H76" s="2">
        <f t="shared" si="6"/>
        <v>1</v>
      </c>
      <c r="I76" s="2">
        <f t="shared" si="6"/>
        <v>1</v>
      </c>
      <c r="J76" s="2">
        <f t="shared" si="6"/>
        <v>-0.25</v>
      </c>
      <c r="K76" s="2">
        <f t="shared" si="6"/>
        <v>1</v>
      </c>
      <c r="L76" s="2">
        <f t="shared" si="6"/>
        <v>-0.25</v>
      </c>
      <c r="M76" s="2">
        <f t="shared" si="6"/>
        <v>1</v>
      </c>
      <c r="N76" s="2">
        <f t="shared" si="6"/>
        <v>-0.25</v>
      </c>
      <c r="O76" s="2">
        <f t="shared" si="6"/>
        <v>-0.25</v>
      </c>
      <c r="P76" s="2">
        <f t="shared" si="6"/>
        <v>-0.25</v>
      </c>
      <c r="Q76" s="2">
        <f t="shared" si="6"/>
        <v>-0.25</v>
      </c>
      <c r="R76" s="2">
        <f t="shared" si="6"/>
        <v>1</v>
      </c>
      <c r="S76" s="2">
        <f t="shared" si="6"/>
        <v>-0.25</v>
      </c>
      <c r="T76" s="2">
        <f t="shared" si="6"/>
        <v>-0.25</v>
      </c>
      <c r="U76" s="2">
        <f t="shared" si="6"/>
        <v>-0.25</v>
      </c>
      <c r="V76" s="2">
        <f t="shared" si="6"/>
        <v>-0.25</v>
      </c>
    </row>
    <row r="77" spans="1:256">
      <c r="A77" s="2"/>
      <c r="B77" s="2"/>
      <c r="C77" s="23">
        <v>21</v>
      </c>
      <c r="D77" s="23">
        <v>22</v>
      </c>
      <c r="E77" s="23">
        <v>23</v>
      </c>
      <c r="F77" s="23">
        <v>24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56">
      <c r="A78" s="2"/>
      <c r="B78" s="2"/>
      <c r="C78" s="21" t="s">
        <v>58</v>
      </c>
      <c r="D78" s="21" t="s">
        <v>58</v>
      </c>
      <c r="E78" s="21" t="s">
        <v>58</v>
      </c>
      <c r="F78" s="21" t="s">
        <v>58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56">
      <c r="A79" s="2"/>
      <c r="B79" s="2"/>
      <c r="C79" s="6" t="s">
        <v>51</v>
      </c>
      <c r="D79" s="6" t="s">
        <v>50</v>
      </c>
      <c r="E79" s="6" t="s">
        <v>48</v>
      </c>
      <c r="F79" s="6" t="s">
        <v>51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56">
      <c r="A80" s="125"/>
      <c r="B80" s="125"/>
      <c r="C80" s="123" t="s">
        <v>48</v>
      </c>
      <c r="D80" s="123" t="s">
        <v>52</v>
      </c>
      <c r="E80" s="123" t="s">
        <v>48</v>
      </c>
      <c r="F80" s="123" t="s">
        <v>50</v>
      </c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  <c r="BO80" s="124"/>
      <c r="BP80" s="124"/>
      <c r="BQ80" s="124"/>
      <c r="BR80" s="124"/>
      <c r="BS80" s="124"/>
      <c r="BT80" s="124"/>
      <c r="BU80" s="124"/>
      <c r="BV80" s="124"/>
      <c r="BW80" s="124"/>
      <c r="BX80" s="124"/>
      <c r="BY80" s="124"/>
      <c r="BZ80" s="124"/>
      <c r="CA80" s="124"/>
      <c r="CB80" s="124"/>
      <c r="CC80" s="124"/>
      <c r="CD80" s="124"/>
      <c r="CE80" s="124"/>
      <c r="CF80" s="124"/>
      <c r="CG80" s="124"/>
      <c r="CH80" s="124"/>
      <c r="CI80" s="124"/>
      <c r="CJ80" s="124"/>
      <c r="CK80" s="124"/>
      <c r="CL80" s="124"/>
      <c r="CM80" s="124"/>
      <c r="CN80" s="124"/>
      <c r="CO80" s="124"/>
      <c r="CP80" s="124"/>
      <c r="CQ80" s="124"/>
      <c r="CR80" s="124"/>
      <c r="CS80" s="124"/>
      <c r="CT80" s="124"/>
      <c r="CU80" s="124"/>
      <c r="CV80" s="124"/>
      <c r="CW80" s="124"/>
      <c r="CX80" s="124"/>
      <c r="CY80" s="124"/>
      <c r="CZ80" s="124"/>
      <c r="DA80" s="124"/>
      <c r="DB80" s="124"/>
      <c r="DC80" s="124"/>
      <c r="DD80" s="124"/>
      <c r="DE80" s="124"/>
      <c r="DF80" s="124"/>
      <c r="DG80" s="124"/>
      <c r="DH80" s="124"/>
      <c r="DI80" s="124"/>
      <c r="DJ80" s="124"/>
      <c r="DK80" s="124"/>
      <c r="DL80" s="124"/>
      <c r="DM80" s="124"/>
      <c r="DN80" s="124"/>
      <c r="DO80" s="124"/>
      <c r="DP80" s="124"/>
      <c r="DQ80" s="124"/>
      <c r="DR80" s="124"/>
      <c r="DS80" s="124"/>
      <c r="DT80" s="124"/>
      <c r="DU80" s="124"/>
      <c r="DV80" s="124"/>
      <c r="DW80" s="124"/>
      <c r="DX80" s="124"/>
      <c r="DY80" s="124"/>
      <c r="DZ80" s="124"/>
      <c r="EA80" s="124"/>
      <c r="EB80" s="124"/>
      <c r="EC80" s="124"/>
      <c r="ED80" s="124"/>
      <c r="EE80" s="124"/>
      <c r="EF80" s="124"/>
      <c r="EG80" s="124"/>
      <c r="EH80" s="124"/>
      <c r="EI80" s="124"/>
      <c r="EJ80" s="124"/>
      <c r="EK80" s="124"/>
      <c r="EL80" s="124"/>
      <c r="EM80" s="124"/>
      <c r="EN80" s="124"/>
      <c r="EO80" s="124"/>
      <c r="EP80" s="124"/>
      <c r="EQ80" s="124"/>
      <c r="ER80" s="124"/>
      <c r="ES80" s="124"/>
      <c r="ET80" s="124"/>
      <c r="EU80" s="124"/>
      <c r="EV80" s="124"/>
      <c r="EW80" s="124"/>
      <c r="EX80" s="124"/>
      <c r="EY80" s="124"/>
      <c r="EZ80" s="124"/>
      <c r="FA80" s="124"/>
      <c r="FB80" s="124"/>
      <c r="FC80" s="124"/>
      <c r="FD80" s="124"/>
      <c r="FE80" s="124"/>
      <c r="FF80" s="124"/>
      <c r="FG80" s="124"/>
      <c r="FH80" s="124"/>
      <c r="FI80" s="124"/>
      <c r="FJ80" s="124"/>
      <c r="FK80" s="124"/>
      <c r="FL80" s="124"/>
      <c r="FM80" s="124"/>
      <c r="FN80" s="124"/>
      <c r="FO80" s="124"/>
      <c r="FP80" s="124"/>
      <c r="FQ80" s="124"/>
      <c r="FR80" s="124"/>
      <c r="FS80" s="124"/>
      <c r="FT80" s="124"/>
      <c r="FU80" s="124"/>
      <c r="FV80" s="124"/>
      <c r="FW80" s="124"/>
      <c r="FX80" s="124"/>
      <c r="FY80" s="124"/>
      <c r="FZ80" s="124"/>
      <c r="GA80" s="124"/>
      <c r="GB80" s="124"/>
      <c r="GC80" s="124"/>
      <c r="GD80" s="124"/>
      <c r="GE80" s="124"/>
      <c r="GF80" s="124"/>
      <c r="GG80" s="124"/>
      <c r="GH80" s="124"/>
      <c r="GI80" s="124"/>
      <c r="GJ80" s="124"/>
      <c r="GK80" s="124"/>
      <c r="GL80" s="124"/>
      <c r="GM80" s="124"/>
      <c r="GN80" s="124"/>
      <c r="GO80" s="124"/>
      <c r="GP80" s="124"/>
      <c r="GQ80" s="124"/>
      <c r="GR80" s="124"/>
      <c r="GS80" s="124"/>
      <c r="GT80" s="124"/>
      <c r="GU80" s="124"/>
      <c r="GV80" s="124"/>
      <c r="GW80" s="124"/>
      <c r="GX80" s="124"/>
      <c r="GY80" s="124"/>
      <c r="GZ80" s="124"/>
      <c r="HA80" s="124"/>
      <c r="HB80" s="124"/>
      <c r="HC80" s="124"/>
      <c r="HD80" s="124"/>
      <c r="HE80" s="124"/>
      <c r="HF80" s="124"/>
      <c r="HG80" s="124"/>
      <c r="HH80" s="124"/>
      <c r="HI80" s="124"/>
      <c r="HJ80" s="124"/>
      <c r="HK80" s="124"/>
      <c r="HL80" s="124"/>
      <c r="HM80" s="124"/>
      <c r="HN80" s="124"/>
      <c r="HO80" s="124"/>
      <c r="HP80" s="124"/>
      <c r="HQ80" s="124"/>
      <c r="HR80" s="124"/>
      <c r="HS80" s="124"/>
      <c r="HT80" s="124"/>
      <c r="HU80" s="124"/>
      <c r="HV80" s="124"/>
      <c r="HW80" s="124"/>
      <c r="HX80" s="124"/>
      <c r="HY80" s="124"/>
      <c r="HZ80" s="124"/>
      <c r="IA80" s="124"/>
      <c r="IB80" s="124"/>
      <c r="IC80" s="124"/>
      <c r="ID80" s="124"/>
      <c r="IE80" s="124"/>
      <c r="IF80" s="124"/>
      <c r="IG80" s="124"/>
      <c r="IH80" s="124"/>
      <c r="II80" s="124"/>
      <c r="IJ80" s="124"/>
      <c r="IK80" s="124"/>
      <c r="IL80" s="124"/>
      <c r="IM80" s="124"/>
      <c r="IN80" s="124"/>
      <c r="IO80" s="124"/>
      <c r="IP80" s="124"/>
      <c r="IQ80" s="124"/>
      <c r="IR80" s="124"/>
      <c r="IS80" s="124"/>
      <c r="IT80" s="124"/>
      <c r="IU80" s="124"/>
      <c r="IV80" s="124"/>
    </row>
    <row r="81" spans="1:256" hidden="1">
      <c r="A81" s="2" t="s">
        <v>53</v>
      </c>
      <c r="B81" s="2"/>
      <c r="C81" s="2">
        <f>IF(C80="",0,IF(C80=C79,1,-0.25))</f>
        <v>-0.25</v>
      </c>
      <c r="D81" s="2">
        <f>IF(D80="",0,IF(D80=D79,1,-0.25))</f>
        <v>-0.25</v>
      </c>
      <c r="E81" s="2">
        <f>IF(E80="",0,IF(E80=E79,1,-0.25))</f>
        <v>1</v>
      </c>
      <c r="F81" s="2">
        <f>IF(F80="",0,IF(F80=F79,1,-0.25))</f>
        <v>-0.25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56">
      <c r="A82" s="9" t="s">
        <v>9</v>
      </c>
      <c r="B82" s="1"/>
      <c r="C82" s="9" t="s">
        <v>77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56">
      <c r="A84" s="1" t="s">
        <v>1</v>
      </c>
      <c r="B84" s="1"/>
      <c r="C84" s="24">
        <v>1</v>
      </c>
      <c r="D84" s="24">
        <v>2</v>
      </c>
      <c r="E84" s="24">
        <v>3</v>
      </c>
      <c r="F84" s="24">
        <v>4</v>
      </c>
      <c r="G84" s="24">
        <v>5</v>
      </c>
      <c r="H84" s="24">
        <v>6</v>
      </c>
      <c r="I84" s="24">
        <v>7</v>
      </c>
      <c r="J84" s="24">
        <v>8</v>
      </c>
      <c r="K84" s="24">
        <v>9</v>
      </c>
      <c r="L84" s="24">
        <v>10</v>
      </c>
      <c r="M84" s="24">
        <v>11</v>
      </c>
      <c r="N84" s="24">
        <v>12</v>
      </c>
      <c r="O84" s="24">
        <v>13</v>
      </c>
      <c r="P84" s="24">
        <v>14</v>
      </c>
      <c r="Q84" s="24">
        <v>15</v>
      </c>
      <c r="R84" s="24">
        <v>16</v>
      </c>
      <c r="S84" s="1"/>
      <c r="T84" s="1"/>
      <c r="U84" s="1"/>
      <c r="V84" s="1"/>
    </row>
    <row r="85" spans="1:256">
      <c r="A85" s="1" t="s">
        <v>2</v>
      </c>
      <c r="B85" s="1"/>
      <c r="C85" s="18" t="s">
        <v>50</v>
      </c>
      <c r="D85" s="18" t="s">
        <v>50</v>
      </c>
      <c r="E85" s="18" t="s">
        <v>50</v>
      </c>
      <c r="F85" s="18" t="s">
        <v>56</v>
      </c>
      <c r="G85" s="18" t="s">
        <v>54</v>
      </c>
      <c r="H85" s="18" t="s">
        <v>52</v>
      </c>
      <c r="I85" s="18" t="s">
        <v>56</v>
      </c>
      <c r="J85" s="18" t="s">
        <v>52</v>
      </c>
      <c r="K85" s="18" t="s">
        <v>56</v>
      </c>
      <c r="L85" s="18" t="s">
        <v>54</v>
      </c>
      <c r="M85" s="18" t="s">
        <v>50</v>
      </c>
      <c r="N85" s="18" t="s">
        <v>56</v>
      </c>
      <c r="O85" s="18" t="s">
        <v>50</v>
      </c>
      <c r="P85" s="18" t="s">
        <v>56</v>
      </c>
      <c r="Q85" s="18" t="s">
        <v>50</v>
      </c>
      <c r="R85" s="18" t="s">
        <v>50</v>
      </c>
      <c r="S85" s="1"/>
      <c r="T85" s="1"/>
      <c r="U85" s="1"/>
      <c r="V85" s="1"/>
    </row>
    <row r="86" spans="1:256">
      <c r="A86" s="1" t="s">
        <v>3</v>
      </c>
      <c r="B86" s="1"/>
      <c r="C86" s="1" t="s">
        <v>48</v>
      </c>
      <c r="D86" s="1" t="s">
        <v>50</v>
      </c>
      <c r="E86" s="1" t="s">
        <v>51</v>
      </c>
      <c r="F86" s="1" t="s">
        <v>51</v>
      </c>
      <c r="G86" s="1" t="s">
        <v>48</v>
      </c>
      <c r="H86" s="1" t="s">
        <v>52</v>
      </c>
      <c r="I86" s="1" t="s">
        <v>49</v>
      </c>
      <c r="J86" s="1" t="s">
        <v>51</v>
      </c>
      <c r="K86" s="1" t="s">
        <v>51</v>
      </c>
      <c r="L86" s="1" t="s">
        <v>48</v>
      </c>
      <c r="M86" s="1" t="s">
        <v>52</v>
      </c>
      <c r="N86" s="1" t="s">
        <v>51</v>
      </c>
      <c r="O86" s="1" t="s">
        <v>51</v>
      </c>
      <c r="P86" s="1" t="s">
        <v>52</v>
      </c>
      <c r="Q86" s="1" t="s">
        <v>49</v>
      </c>
      <c r="R86" s="1" t="s">
        <v>52</v>
      </c>
      <c r="S86" s="1"/>
      <c r="T86" s="1"/>
      <c r="U86" s="1"/>
      <c r="V86" s="1"/>
      <c r="X86" t="b">
        <f t="shared" ref="X86:AJ86" si="7">D86=D87</f>
        <v>1</v>
      </c>
      <c r="Y86" t="b">
        <f t="shared" si="7"/>
        <v>1</v>
      </c>
      <c r="Z86" t="b">
        <f t="shared" si="7"/>
        <v>1</v>
      </c>
      <c r="AA86" t="b">
        <f t="shared" si="7"/>
        <v>0</v>
      </c>
      <c r="AB86" t="b">
        <f t="shared" si="7"/>
        <v>0</v>
      </c>
      <c r="AC86" t="b">
        <f t="shared" si="7"/>
        <v>0</v>
      </c>
      <c r="AD86" t="b">
        <f t="shared" si="7"/>
        <v>0</v>
      </c>
      <c r="AE86" t="b">
        <f t="shared" si="7"/>
        <v>0</v>
      </c>
      <c r="AF86" t="b">
        <f t="shared" si="7"/>
        <v>0</v>
      </c>
      <c r="AG86" t="b">
        <f t="shared" si="7"/>
        <v>0</v>
      </c>
      <c r="AH86" t="b">
        <f t="shared" si="7"/>
        <v>0</v>
      </c>
      <c r="AI86" t="b">
        <f t="shared" si="7"/>
        <v>1</v>
      </c>
      <c r="AJ86" t="b">
        <f t="shared" si="7"/>
        <v>0</v>
      </c>
    </row>
    <row r="87" spans="1:256">
      <c r="A87" s="128" t="s">
        <v>4</v>
      </c>
      <c r="B87" s="128"/>
      <c r="C87" s="123" t="s">
        <v>48</v>
      </c>
      <c r="D87" s="123" t="s">
        <v>50</v>
      </c>
      <c r="E87" s="123" t="s">
        <v>51</v>
      </c>
      <c r="F87" s="123" t="s">
        <v>51</v>
      </c>
      <c r="G87" s="123" t="s">
        <v>52</v>
      </c>
      <c r="H87" s="123" t="s">
        <v>51</v>
      </c>
      <c r="I87" s="123" t="s">
        <v>51</v>
      </c>
      <c r="J87" s="123" t="s">
        <v>50</v>
      </c>
      <c r="K87" s="123" t="s">
        <v>50</v>
      </c>
      <c r="L87" s="123" t="s">
        <v>49</v>
      </c>
      <c r="M87" s="123" t="s">
        <v>48</v>
      </c>
      <c r="N87" s="123" t="s">
        <v>52</v>
      </c>
      <c r="O87" s="123" t="s">
        <v>51</v>
      </c>
      <c r="P87" s="123" t="s">
        <v>51</v>
      </c>
      <c r="Q87" s="123" t="s">
        <v>51</v>
      </c>
      <c r="R87" s="123" t="s">
        <v>50</v>
      </c>
      <c r="S87" s="128"/>
      <c r="T87" s="128"/>
      <c r="U87" s="128"/>
      <c r="V87" s="128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  <c r="BO87" s="124"/>
      <c r="BP87" s="124"/>
      <c r="BQ87" s="124"/>
      <c r="BR87" s="124"/>
      <c r="BS87" s="124"/>
      <c r="BT87" s="124"/>
      <c r="BU87" s="124"/>
      <c r="BV87" s="124"/>
      <c r="BW87" s="124"/>
      <c r="BX87" s="124"/>
      <c r="BY87" s="124"/>
      <c r="BZ87" s="124"/>
      <c r="CA87" s="124"/>
      <c r="CB87" s="124"/>
      <c r="CC87" s="124"/>
      <c r="CD87" s="124"/>
      <c r="CE87" s="124"/>
      <c r="CF87" s="124"/>
      <c r="CG87" s="124"/>
      <c r="CH87" s="124"/>
      <c r="CI87" s="124"/>
      <c r="CJ87" s="124"/>
      <c r="CK87" s="124"/>
      <c r="CL87" s="124"/>
      <c r="CM87" s="124"/>
      <c r="CN87" s="124"/>
      <c r="CO87" s="124"/>
      <c r="CP87" s="124"/>
      <c r="CQ87" s="124"/>
      <c r="CR87" s="124"/>
      <c r="CS87" s="124"/>
      <c r="CT87" s="124"/>
      <c r="CU87" s="124"/>
      <c r="CV87" s="124"/>
      <c r="CW87" s="124"/>
      <c r="CX87" s="124"/>
      <c r="CY87" s="124"/>
      <c r="CZ87" s="124"/>
      <c r="DA87" s="124"/>
      <c r="DB87" s="124"/>
      <c r="DC87" s="124"/>
      <c r="DD87" s="124"/>
      <c r="DE87" s="124"/>
      <c r="DF87" s="124"/>
      <c r="DG87" s="124"/>
      <c r="DH87" s="124"/>
      <c r="DI87" s="124"/>
      <c r="DJ87" s="124"/>
      <c r="DK87" s="124"/>
      <c r="DL87" s="124"/>
      <c r="DM87" s="124"/>
      <c r="DN87" s="124"/>
      <c r="DO87" s="124"/>
      <c r="DP87" s="124"/>
      <c r="DQ87" s="124"/>
      <c r="DR87" s="124"/>
      <c r="DS87" s="124"/>
      <c r="DT87" s="124"/>
      <c r="DU87" s="124"/>
      <c r="DV87" s="124"/>
      <c r="DW87" s="124"/>
      <c r="DX87" s="124"/>
      <c r="DY87" s="124"/>
      <c r="DZ87" s="124"/>
      <c r="EA87" s="124"/>
      <c r="EB87" s="124"/>
      <c r="EC87" s="124"/>
      <c r="ED87" s="124"/>
      <c r="EE87" s="124"/>
      <c r="EF87" s="124"/>
      <c r="EG87" s="124"/>
      <c r="EH87" s="124"/>
      <c r="EI87" s="124"/>
      <c r="EJ87" s="124"/>
      <c r="EK87" s="124"/>
      <c r="EL87" s="124"/>
      <c r="EM87" s="124"/>
      <c r="EN87" s="124"/>
      <c r="EO87" s="124"/>
      <c r="EP87" s="124"/>
      <c r="EQ87" s="124"/>
      <c r="ER87" s="124"/>
      <c r="ES87" s="124"/>
      <c r="ET87" s="124"/>
      <c r="EU87" s="124"/>
      <c r="EV87" s="124"/>
      <c r="EW87" s="124"/>
      <c r="EX87" s="124"/>
      <c r="EY87" s="124"/>
      <c r="EZ87" s="124"/>
      <c r="FA87" s="124"/>
      <c r="FB87" s="124"/>
      <c r="FC87" s="124"/>
      <c r="FD87" s="124"/>
      <c r="FE87" s="124"/>
      <c r="FF87" s="124"/>
      <c r="FG87" s="124"/>
      <c r="FH87" s="124"/>
      <c r="FI87" s="124"/>
      <c r="FJ87" s="124"/>
      <c r="FK87" s="124"/>
      <c r="FL87" s="124"/>
      <c r="FM87" s="124"/>
      <c r="FN87" s="124"/>
      <c r="FO87" s="124"/>
      <c r="FP87" s="124"/>
      <c r="FQ87" s="124"/>
      <c r="FR87" s="124"/>
      <c r="FS87" s="124"/>
      <c r="FT87" s="124"/>
      <c r="FU87" s="124"/>
      <c r="FV87" s="124"/>
      <c r="FW87" s="124"/>
      <c r="FX87" s="124"/>
      <c r="FY87" s="124"/>
      <c r="FZ87" s="124"/>
      <c r="GA87" s="124"/>
      <c r="GB87" s="124"/>
      <c r="GC87" s="124"/>
      <c r="GD87" s="124"/>
      <c r="GE87" s="124"/>
      <c r="GF87" s="124"/>
      <c r="GG87" s="124"/>
      <c r="GH87" s="124"/>
      <c r="GI87" s="124"/>
      <c r="GJ87" s="124"/>
      <c r="GK87" s="124"/>
      <c r="GL87" s="124"/>
      <c r="GM87" s="124"/>
      <c r="GN87" s="124"/>
      <c r="GO87" s="124"/>
      <c r="GP87" s="124"/>
      <c r="GQ87" s="124"/>
      <c r="GR87" s="124"/>
      <c r="GS87" s="124"/>
      <c r="GT87" s="124"/>
      <c r="GU87" s="124"/>
      <c r="GV87" s="124"/>
      <c r="GW87" s="124"/>
      <c r="GX87" s="124"/>
      <c r="GY87" s="124"/>
      <c r="GZ87" s="124"/>
      <c r="HA87" s="124"/>
      <c r="HB87" s="124"/>
      <c r="HC87" s="124"/>
      <c r="HD87" s="124"/>
      <c r="HE87" s="124"/>
      <c r="HF87" s="124"/>
      <c r="HG87" s="124"/>
      <c r="HH87" s="124"/>
      <c r="HI87" s="124"/>
      <c r="HJ87" s="124"/>
      <c r="HK87" s="124"/>
      <c r="HL87" s="124"/>
      <c r="HM87" s="124"/>
      <c r="HN87" s="124"/>
      <c r="HO87" s="124"/>
      <c r="HP87" s="124"/>
      <c r="HQ87" s="124"/>
      <c r="HR87" s="124"/>
      <c r="HS87" s="124"/>
      <c r="HT87" s="124"/>
      <c r="HU87" s="124"/>
      <c r="HV87" s="124"/>
      <c r="HW87" s="124"/>
      <c r="HX87" s="124"/>
      <c r="HY87" s="124"/>
      <c r="HZ87" s="124"/>
      <c r="IA87" s="124"/>
      <c r="IB87" s="124"/>
      <c r="IC87" s="124"/>
      <c r="ID87" s="124"/>
      <c r="IE87" s="124"/>
      <c r="IF87" s="124"/>
      <c r="IG87" s="124"/>
      <c r="IH87" s="124"/>
      <c r="II87" s="124"/>
      <c r="IJ87" s="124"/>
      <c r="IK87" s="124"/>
      <c r="IL87" s="124"/>
      <c r="IM87" s="124"/>
      <c r="IN87" s="124"/>
      <c r="IO87" s="124"/>
      <c r="IP87" s="124"/>
      <c r="IQ87" s="124"/>
      <c r="IR87" s="124"/>
      <c r="IS87" s="124"/>
      <c r="IT87" s="124"/>
      <c r="IU87" s="124"/>
      <c r="IV87" s="124"/>
    </row>
    <row r="88" spans="1:256" hidden="1">
      <c r="A88" s="1" t="s">
        <v>53</v>
      </c>
      <c r="B88" s="1"/>
      <c r="C88" s="1">
        <f>IF(C87="",0,IF(C87=C86,1,-0.25))</f>
        <v>1</v>
      </c>
      <c r="D88" s="1">
        <f t="shared" ref="D88:R88" si="8">IF(D87="",0,IF(D87=D86,1,-0.25))</f>
        <v>1</v>
      </c>
      <c r="E88" s="1">
        <f t="shared" si="8"/>
        <v>1</v>
      </c>
      <c r="F88" s="1">
        <f t="shared" si="8"/>
        <v>1</v>
      </c>
      <c r="G88" s="1">
        <f t="shared" si="8"/>
        <v>-0.25</v>
      </c>
      <c r="H88" s="1">
        <f t="shared" si="8"/>
        <v>-0.25</v>
      </c>
      <c r="I88" s="1">
        <f t="shared" si="8"/>
        <v>-0.25</v>
      </c>
      <c r="J88" s="1">
        <f t="shared" si="8"/>
        <v>-0.25</v>
      </c>
      <c r="K88" s="1">
        <f t="shared" si="8"/>
        <v>-0.25</v>
      </c>
      <c r="L88" s="1">
        <f t="shared" si="8"/>
        <v>-0.25</v>
      </c>
      <c r="M88" s="1">
        <f t="shared" si="8"/>
        <v>-0.25</v>
      </c>
      <c r="N88" s="1">
        <f t="shared" si="8"/>
        <v>-0.25</v>
      </c>
      <c r="O88" s="1">
        <f t="shared" si="8"/>
        <v>1</v>
      </c>
      <c r="P88" s="1">
        <f t="shared" si="8"/>
        <v>-0.25</v>
      </c>
      <c r="Q88" s="1">
        <f t="shared" si="8"/>
        <v>-0.25</v>
      </c>
      <c r="R88" s="1">
        <f t="shared" si="8"/>
        <v>-0.25</v>
      </c>
      <c r="S88" s="1"/>
      <c r="T88" s="1"/>
      <c r="U88" s="1"/>
      <c r="V88" s="1"/>
    </row>
    <row r="89" spans="1:256">
      <c r="A89" s="8" t="s">
        <v>10</v>
      </c>
      <c r="B89" s="2"/>
      <c r="C89" s="8" t="s">
        <v>78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5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56">
      <c r="A91" s="2" t="s">
        <v>1</v>
      </c>
      <c r="B91" s="2"/>
      <c r="C91" s="23">
        <v>1</v>
      </c>
      <c r="D91" s="23">
        <v>2</v>
      </c>
      <c r="E91" s="23">
        <v>3</v>
      </c>
      <c r="F91" s="23">
        <v>4</v>
      </c>
      <c r="G91" s="23">
        <v>5</v>
      </c>
      <c r="H91" s="23">
        <v>6</v>
      </c>
      <c r="I91" s="23">
        <v>7</v>
      </c>
      <c r="J91" s="23">
        <v>8</v>
      </c>
      <c r="K91" s="23">
        <v>9</v>
      </c>
      <c r="L91" s="23">
        <v>10</v>
      </c>
      <c r="M91" s="23">
        <v>11</v>
      </c>
      <c r="N91" s="23">
        <v>12</v>
      </c>
      <c r="O91" s="23">
        <v>13</v>
      </c>
      <c r="P91" s="23">
        <v>14</v>
      </c>
      <c r="Q91" s="23">
        <v>15</v>
      </c>
      <c r="R91" s="23">
        <v>16</v>
      </c>
      <c r="S91" s="23">
        <v>17</v>
      </c>
      <c r="T91" s="23">
        <v>18</v>
      </c>
      <c r="U91" s="23">
        <v>19</v>
      </c>
      <c r="V91" s="2"/>
    </row>
    <row r="92" spans="1:256">
      <c r="A92" s="2" t="s">
        <v>2</v>
      </c>
      <c r="B92" s="2"/>
      <c r="C92" s="19" t="s">
        <v>57</v>
      </c>
      <c r="D92" s="19" t="s">
        <v>57</v>
      </c>
      <c r="E92" s="19" t="s">
        <v>57</v>
      </c>
      <c r="F92" s="19" t="s">
        <v>57</v>
      </c>
      <c r="G92" s="19" t="s">
        <v>57</v>
      </c>
      <c r="H92" s="19" t="s">
        <v>57</v>
      </c>
      <c r="I92" s="19" t="s">
        <v>58</v>
      </c>
      <c r="J92" s="19" t="s">
        <v>58</v>
      </c>
      <c r="K92" s="19" t="s">
        <v>58</v>
      </c>
      <c r="L92" s="19" t="s">
        <v>58</v>
      </c>
      <c r="M92" s="19" t="s">
        <v>58</v>
      </c>
      <c r="N92" s="19" t="s">
        <v>58</v>
      </c>
      <c r="O92" s="19" t="s">
        <v>58</v>
      </c>
      <c r="P92" s="19" t="s">
        <v>58</v>
      </c>
      <c r="Q92" s="19" t="s">
        <v>58</v>
      </c>
      <c r="R92" s="19" t="s">
        <v>58</v>
      </c>
      <c r="S92" s="19" t="s">
        <v>58</v>
      </c>
      <c r="T92" s="19" t="s">
        <v>58</v>
      </c>
      <c r="U92" s="19" t="s">
        <v>58</v>
      </c>
      <c r="V92" s="2"/>
    </row>
    <row r="93" spans="1:256">
      <c r="A93" s="2" t="s">
        <v>3</v>
      </c>
      <c r="B93" s="2"/>
      <c r="C93" s="2" t="s">
        <v>50</v>
      </c>
      <c r="D93" s="2" t="s">
        <v>51</v>
      </c>
      <c r="E93" s="2" t="s">
        <v>51</v>
      </c>
      <c r="F93" s="2" t="s">
        <v>52</v>
      </c>
      <c r="G93" s="2" t="s">
        <v>52</v>
      </c>
      <c r="H93" s="2" t="s">
        <v>52</v>
      </c>
      <c r="I93" s="2" t="s">
        <v>51</v>
      </c>
      <c r="J93" s="2" t="s">
        <v>50</v>
      </c>
      <c r="K93" s="2" t="s">
        <v>49</v>
      </c>
      <c r="L93" s="2" t="s">
        <v>51</v>
      </c>
      <c r="M93" s="2" t="s">
        <v>51</v>
      </c>
      <c r="N93" s="2" t="s">
        <v>52</v>
      </c>
      <c r="O93" s="2" t="s">
        <v>48</v>
      </c>
      <c r="P93" s="2" t="s">
        <v>48</v>
      </c>
      <c r="Q93" s="2" t="s">
        <v>48</v>
      </c>
      <c r="R93" s="2" t="s">
        <v>52</v>
      </c>
      <c r="S93" s="2" t="s">
        <v>49</v>
      </c>
      <c r="T93" s="2" t="s">
        <v>48</v>
      </c>
      <c r="U93" s="2" t="s">
        <v>49</v>
      </c>
      <c r="V93" s="2"/>
    </row>
    <row r="94" spans="1:256">
      <c r="A94" s="125" t="s">
        <v>4</v>
      </c>
      <c r="B94" s="125"/>
      <c r="C94" s="123" t="s">
        <v>50</v>
      </c>
      <c r="D94" s="123" t="s">
        <v>51</v>
      </c>
      <c r="E94" s="123" t="s">
        <v>51</v>
      </c>
      <c r="F94" s="123" t="s">
        <v>52</v>
      </c>
      <c r="G94" s="123" t="s">
        <v>49</v>
      </c>
      <c r="H94" s="123" t="s">
        <v>51</v>
      </c>
      <c r="I94" s="123" t="s">
        <v>50</v>
      </c>
      <c r="J94" s="123" t="s">
        <v>50</v>
      </c>
      <c r="K94" s="123" t="s">
        <v>49</v>
      </c>
      <c r="L94" s="123" t="s">
        <v>51</v>
      </c>
      <c r="M94" s="123" t="s">
        <v>48</v>
      </c>
      <c r="N94" s="123" t="s">
        <v>52</v>
      </c>
      <c r="O94" s="123" t="s">
        <v>50</v>
      </c>
      <c r="P94" s="123" t="s">
        <v>52</v>
      </c>
      <c r="Q94" s="123" t="s">
        <v>48</v>
      </c>
      <c r="R94" s="123" t="s">
        <v>52</v>
      </c>
      <c r="S94" s="123" t="s">
        <v>49</v>
      </c>
      <c r="T94" s="123" t="s">
        <v>49</v>
      </c>
      <c r="U94" s="123" t="s">
        <v>52</v>
      </c>
      <c r="V94" s="125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  <c r="BO94" s="124"/>
      <c r="BP94" s="124"/>
      <c r="BQ94" s="124"/>
      <c r="BR94" s="124"/>
      <c r="BS94" s="124"/>
      <c r="BT94" s="124"/>
      <c r="BU94" s="124"/>
      <c r="BV94" s="124"/>
      <c r="BW94" s="124"/>
      <c r="BX94" s="124"/>
      <c r="BY94" s="124"/>
      <c r="BZ94" s="124"/>
      <c r="CA94" s="124"/>
      <c r="CB94" s="124"/>
      <c r="CC94" s="124"/>
      <c r="CD94" s="124"/>
      <c r="CE94" s="124"/>
      <c r="CF94" s="124"/>
      <c r="CG94" s="124"/>
      <c r="CH94" s="124"/>
      <c r="CI94" s="124"/>
      <c r="CJ94" s="124"/>
      <c r="CK94" s="124"/>
      <c r="CL94" s="124"/>
      <c r="CM94" s="124"/>
      <c r="CN94" s="124"/>
      <c r="CO94" s="124"/>
      <c r="CP94" s="124"/>
      <c r="CQ94" s="124"/>
      <c r="CR94" s="124"/>
      <c r="CS94" s="124"/>
      <c r="CT94" s="124"/>
      <c r="CU94" s="124"/>
      <c r="CV94" s="124"/>
      <c r="CW94" s="124"/>
      <c r="CX94" s="124"/>
      <c r="CY94" s="124"/>
      <c r="CZ94" s="124"/>
      <c r="DA94" s="124"/>
      <c r="DB94" s="124"/>
      <c r="DC94" s="124"/>
      <c r="DD94" s="124"/>
      <c r="DE94" s="124"/>
      <c r="DF94" s="124"/>
      <c r="DG94" s="124"/>
      <c r="DH94" s="124"/>
      <c r="DI94" s="124"/>
      <c r="DJ94" s="124"/>
      <c r="DK94" s="124"/>
      <c r="DL94" s="124"/>
      <c r="DM94" s="124"/>
      <c r="DN94" s="124"/>
      <c r="DO94" s="124"/>
      <c r="DP94" s="124"/>
      <c r="DQ94" s="124"/>
      <c r="DR94" s="124"/>
      <c r="DS94" s="124"/>
      <c r="DT94" s="124"/>
      <c r="DU94" s="124"/>
      <c r="DV94" s="124"/>
      <c r="DW94" s="124"/>
      <c r="DX94" s="124"/>
      <c r="DY94" s="124"/>
      <c r="DZ94" s="124"/>
      <c r="EA94" s="124"/>
      <c r="EB94" s="124"/>
      <c r="EC94" s="124"/>
      <c r="ED94" s="124"/>
      <c r="EE94" s="124"/>
      <c r="EF94" s="124"/>
      <c r="EG94" s="124"/>
      <c r="EH94" s="124"/>
      <c r="EI94" s="124"/>
      <c r="EJ94" s="124"/>
      <c r="EK94" s="124"/>
      <c r="EL94" s="124"/>
      <c r="EM94" s="124"/>
      <c r="EN94" s="124"/>
      <c r="EO94" s="124"/>
      <c r="EP94" s="124"/>
      <c r="EQ94" s="124"/>
      <c r="ER94" s="124"/>
      <c r="ES94" s="124"/>
      <c r="ET94" s="124"/>
      <c r="EU94" s="124"/>
      <c r="EV94" s="124"/>
      <c r="EW94" s="124"/>
      <c r="EX94" s="124"/>
      <c r="EY94" s="124"/>
      <c r="EZ94" s="124"/>
      <c r="FA94" s="124"/>
      <c r="FB94" s="124"/>
      <c r="FC94" s="124"/>
      <c r="FD94" s="124"/>
      <c r="FE94" s="124"/>
      <c r="FF94" s="124"/>
      <c r="FG94" s="124"/>
      <c r="FH94" s="124"/>
      <c r="FI94" s="124"/>
      <c r="FJ94" s="124"/>
      <c r="FK94" s="124"/>
      <c r="FL94" s="124"/>
      <c r="FM94" s="124"/>
      <c r="FN94" s="124"/>
      <c r="FO94" s="124"/>
      <c r="FP94" s="124"/>
      <c r="FQ94" s="124"/>
      <c r="FR94" s="124"/>
      <c r="FS94" s="124"/>
      <c r="FT94" s="124"/>
      <c r="FU94" s="124"/>
      <c r="FV94" s="124"/>
      <c r="FW94" s="124"/>
      <c r="FX94" s="124"/>
      <c r="FY94" s="124"/>
      <c r="FZ94" s="124"/>
      <c r="GA94" s="124"/>
      <c r="GB94" s="124"/>
      <c r="GC94" s="124"/>
      <c r="GD94" s="124"/>
      <c r="GE94" s="124"/>
      <c r="GF94" s="124"/>
      <c r="GG94" s="124"/>
      <c r="GH94" s="124"/>
      <c r="GI94" s="124"/>
      <c r="GJ94" s="124"/>
      <c r="GK94" s="124"/>
      <c r="GL94" s="124"/>
      <c r="GM94" s="124"/>
      <c r="GN94" s="124"/>
      <c r="GO94" s="124"/>
      <c r="GP94" s="124"/>
      <c r="GQ94" s="124"/>
      <c r="GR94" s="124"/>
      <c r="GS94" s="124"/>
      <c r="GT94" s="124"/>
      <c r="GU94" s="124"/>
      <c r="GV94" s="124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K94" s="124"/>
      <c r="IL94" s="124"/>
      <c r="IM94" s="124"/>
      <c r="IN94" s="124"/>
      <c r="IO94" s="124"/>
      <c r="IP94" s="124"/>
      <c r="IQ94" s="124"/>
      <c r="IR94" s="124"/>
      <c r="IS94" s="124"/>
      <c r="IT94" s="124"/>
      <c r="IU94" s="124"/>
      <c r="IV94" s="124"/>
    </row>
    <row r="95" spans="1:256" hidden="1">
      <c r="A95" s="2" t="s">
        <v>53</v>
      </c>
      <c r="B95" s="2"/>
      <c r="C95" s="2">
        <f>IF(C94="",0,IF(C94=C93,1,-0.25))</f>
        <v>1</v>
      </c>
      <c r="D95" s="2">
        <f t="shared" ref="D95:U95" si="9">IF(D94="",0,IF(D94=D93,1,-0.25))</f>
        <v>1</v>
      </c>
      <c r="E95" s="2">
        <f t="shared" si="9"/>
        <v>1</v>
      </c>
      <c r="F95" s="2">
        <f t="shared" si="9"/>
        <v>1</v>
      </c>
      <c r="G95" s="2">
        <f t="shared" si="9"/>
        <v>-0.25</v>
      </c>
      <c r="H95" s="2">
        <f t="shared" si="9"/>
        <v>-0.25</v>
      </c>
      <c r="I95" s="2">
        <f t="shared" si="9"/>
        <v>-0.25</v>
      </c>
      <c r="J95" s="2">
        <f t="shared" si="9"/>
        <v>1</v>
      </c>
      <c r="K95" s="2">
        <f t="shared" si="9"/>
        <v>1</v>
      </c>
      <c r="L95" s="2">
        <f t="shared" si="9"/>
        <v>1</v>
      </c>
      <c r="M95" s="2">
        <f t="shared" si="9"/>
        <v>-0.25</v>
      </c>
      <c r="N95" s="2">
        <f t="shared" si="9"/>
        <v>1</v>
      </c>
      <c r="O95" s="2">
        <f t="shared" si="9"/>
        <v>-0.25</v>
      </c>
      <c r="P95" s="2">
        <f t="shared" si="9"/>
        <v>-0.25</v>
      </c>
      <c r="Q95" s="2">
        <f t="shared" si="9"/>
        <v>1</v>
      </c>
      <c r="R95" s="2">
        <f t="shared" si="9"/>
        <v>1</v>
      </c>
      <c r="S95" s="2">
        <f t="shared" si="9"/>
        <v>1</v>
      </c>
      <c r="T95" s="2">
        <f t="shared" si="9"/>
        <v>-0.25</v>
      </c>
      <c r="U95" s="2">
        <f t="shared" si="9"/>
        <v>-0.25</v>
      </c>
      <c r="V95" s="2"/>
    </row>
    <row r="96" spans="1:256">
      <c r="A96" s="7" t="s">
        <v>11</v>
      </c>
      <c r="B96" s="7"/>
      <c r="C96" s="7" t="s">
        <v>79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56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56">
      <c r="A98" s="3" t="s">
        <v>1</v>
      </c>
      <c r="B98" s="3"/>
      <c r="C98" s="22">
        <v>1</v>
      </c>
      <c r="D98" s="22">
        <v>2</v>
      </c>
      <c r="E98" s="22">
        <v>3</v>
      </c>
      <c r="F98" s="22">
        <v>4</v>
      </c>
      <c r="G98" s="22">
        <v>5</v>
      </c>
      <c r="H98" s="22">
        <v>6</v>
      </c>
      <c r="I98" s="22">
        <v>7</v>
      </c>
      <c r="J98" s="22">
        <v>8</v>
      </c>
      <c r="K98" s="22">
        <v>9</v>
      </c>
      <c r="L98" s="22">
        <v>10</v>
      </c>
      <c r="M98" s="22">
        <v>11</v>
      </c>
      <c r="N98" s="22">
        <v>12</v>
      </c>
      <c r="O98" s="22">
        <v>13</v>
      </c>
      <c r="P98" s="22">
        <v>14</v>
      </c>
      <c r="Q98" s="3"/>
      <c r="R98" s="3"/>
      <c r="S98" s="3"/>
      <c r="T98" s="3"/>
      <c r="U98" s="3"/>
      <c r="V98" s="3"/>
    </row>
    <row r="99" spans="1:256">
      <c r="A99" s="3" t="s">
        <v>2</v>
      </c>
      <c r="B99" s="3"/>
      <c r="C99" s="20" t="s">
        <v>59</v>
      </c>
      <c r="D99" s="20" t="s">
        <v>59</v>
      </c>
      <c r="E99" s="20" t="s">
        <v>59</v>
      </c>
      <c r="F99" s="20" t="s">
        <v>59</v>
      </c>
      <c r="G99" s="20" t="s">
        <v>59</v>
      </c>
      <c r="H99" s="20" t="s">
        <v>59</v>
      </c>
      <c r="I99" s="20" t="s">
        <v>59</v>
      </c>
      <c r="J99" s="20" t="s">
        <v>59</v>
      </c>
      <c r="K99" s="20" t="s">
        <v>59</v>
      </c>
      <c r="L99" s="20" t="s">
        <v>59</v>
      </c>
      <c r="M99" s="20" t="s">
        <v>59</v>
      </c>
      <c r="N99" s="20" t="s">
        <v>59</v>
      </c>
      <c r="O99" s="20" t="s">
        <v>59</v>
      </c>
      <c r="P99" s="20" t="s">
        <v>59</v>
      </c>
      <c r="Q99" s="3"/>
      <c r="R99" s="3"/>
      <c r="S99" s="3"/>
      <c r="T99" s="3"/>
      <c r="U99" s="3"/>
      <c r="V99" s="3"/>
    </row>
    <row r="100" spans="1:256">
      <c r="A100" s="3" t="s">
        <v>3</v>
      </c>
      <c r="B100" s="3"/>
      <c r="C100" s="3" t="s">
        <v>48</v>
      </c>
      <c r="D100" s="3" t="s">
        <v>48</v>
      </c>
      <c r="E100" s="3" t="s">
        <v>50</v>
      </c>
      <c r="F100" s="3" t="s">
        <v>48</v>
      </c>
      <c r="G100" s="3" t="s">
        <v>49</v>
      </c>
      <c r="H100" s="3" t="s">
        <v>52</v>
      </c>
      <c r="I100" s="3" t="s">
        <v>49</v>
      </c>
      <c r="J100" s="3" t="s">
        <v>49</v>
      </c>
      <c r="K100" s="3" t="s">
        <v>52</v>
      </c>
      <c r="L100" s="3" t="s">
        <v>48</v>
      </c>
      <c r="M100" s="3" t="s">
        <v>49</v>
      </c>
      <c r="N100" s="3" t="s">
        <v>48</v>
      </c>
      <c r="O100" s="3" t="s">
        <v>51</v>
      </c>
      <c r="P100" s="3" t="s">
        <v>51</v>
      </c>
      <c r="Q100" s="3"/>
      <c r="R100" s="3"/>
      <c r="S100" s="3"/>
      <c r="T100" s="3"/>
      <c r="U100" s="3"/>
      <c r="V100" s="3"/>
    </row>
    <row r="101" spans="1:256">
      <c r="A101" s="127" t="s">
        <v>4</v>
      </c>
      <c r="B101" s="127"/>
      <c r="C101" s="123" t="s">
        <v>48</v>
      </c>
      <c r="D101" s="123" t="s">
        <v>48</v>
      </c>
      <c r="E101" s="123" t="s">
        <v>50</v>
      </c>
      <c r="F101" s="123" t="s">
        <v>48</v>
      </c>
      <c r="G101" s="123" t="s">
        <v>49</v>
      </c>
      <c r="H101" s="123" t="s">
        <v>52</v>
      </c>
      <c r="I101" s="123" t="s">
        <v>51</v>
      </c>
      <c r="J101" s="123" t="s">
        <v>50</v>
      </c>
      <c r="K101" s="123" t="s">
        <v>52</v>
      </c>
      <c r="L101" s="123" t="s">
        <v>48</v>
      </c>
      <c r="M101" s="123" t="s">
        <v>49</v>
      </c>
      <c r="N101" s="123" t="s">
        <v>52</v>
      </c>
      <c r="O101" s="123"/>
      <c r="P101" s="123"/>
      <c r="Q101" s="127"/>
      <c r="R101" s="127"/>
      <c r="S101" s="127"/>
      <c r="T101" s="127"/>
      <c r="U101" s="127"/>
      <c r="V101" s="127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  <c r="BO101" s="124"/>
      <c r="BP101" s="124"/>
      <c r="BQ101" s="124"/>
      <c r="BR101" s="124"/>
      <c r="BS101" s="124"/>
      <c r="BT101" s="124"/>
      <c r="BU101" s="124"/>
      <c r="BV101" s="124"/>
      <c r="BW101" s="124"/>
      <c r="BX101" s="124"/>
      <c r="BY101" s="124"/>
      <c r="BZ101" s="124"/>
      <c r="CA101" s="124"/>
      <c r="CB101" s="124"/>
      <c r="CC101" s="124"/>
      <c r="CD101" s="124"/>
      <c r="CE101" s="124"/>
      <c r="CF101" s="124"/>
      <c r="CG101" s="124"/>
      <c r="CH101" s="124"/>
      <c r="CI101" s="124"/>
      <c r="CJ101" s="124"/>
      <c r="CK101" s="124"/>
      <c r="CL101" s="124"/>
      <c r="CM101" s="124"/>
      <c r="CN101" s="124"/>
      <c r="CO101" s="124"/>
      <c r="CP101" s="124"/>
      <c r="CQ101" s="124"/>
      <c r="CR101" s="124"/>
      <c r="CS101" s="124"/>
      <c r="CT101" s="124"/>
      <c r="CU101" s="124"/>
      <c r="CV101" s="124"/>
      <c r="CW101" s="124"/>
      <c r="CX101" s="124"/>
      <c r="CY101" s="124"/>
      <c r="CZ101" s="124"/>
      <c r="DA101" s="124"/>
      <c r="DB101" s="124"/>
      <c r="DC101" s="124"/>
      <c r="DD101" s="124"/>
      <c r="DE101" s="124"/>
      <c r="DF101" s="124"/>
      <c r="DG101" s="124"/>
      <c r="DH101" s="124"/>
      <c r="DI101" s="124"/>
      <c r="DJ101" s="124"/>
      <c r="DK101" s="124"/>
      <c r="DL101" s="124"/>
      <c r="DM101" s="124"/>
      <c r="DN101" s="124"/>
      <c r="DO101" s="124"/>
      <c r="DP101" s="124"/>
      <c r="DQ101" s="124"/>
      <c r="DR101" s="124"/>
      <c r="DS101" s="124"/>
      <c r="DT101" s="124"/>
      <c r="DU101" s="124"/>
      <c r="DV101" s="124"/>
      <c r="DW101" s="124"/>
      <c r="DX101" s="124"/>
      <c r="DY101" s="124"/>
      <c r="DZ101" s="124"/>
      <c r="EA101" s="124"/>
      <c r="EB101" s="124"/>
      <c r="EC101" s="124"/>
      <c r="ED101" s="124"/>
      <c r="EE101" s="124"/>
      <c r="EF101" s="124"/>
      <c r="EG101" s="124"/>
      <c r="EH101" s="124"/>
      <c r="EI101" s="124"/>
      <c r="EJ101" s="124"/>
      <c r="EK101" s="124"/>
      <c r="EL101" s="124"/>
      <c r="EM101" s="124"/>
      <c r="EN101" s="124"/>
      <c r="EO101" s="124"/>
      <c r="EP101" s="124"/>
      <c r="EQ101" s="124"/>
      <c r="ER101" s="124"/>
      <c r="ES101" s="124"/>
      <c r="ET101" s="124"/>
      <c r="EU101" s="124"/>
      <c r="EV101" s="124"/>
      <c r="EW101" s="124"/>
      <c r="EX101" s="124"/>
      <c r="EY101" s="124"/>
      <c r="EZ101" s="124"/>
      <c r="FA101" s="124"/>
      <c r="FB101" s="124"/>
      <c r="FC101" s="124"/>
      <c r="FD101" s="124"/>
      <c r="FE101" s="124"/>
      <c r="FF101" s="124"/>
      <c r="FG101" s="124"/>
      <c r="FH101" s="124"/>
      <c r="FI101" s="124"/>
      <c r="FJ101" s="124"/>
      <c r="FK101" s="124"/>
      <c r="FL101" s="124"/>
      <c r="FM101" s="124"/>
      <c r="FN101" s="124"/>
      <c r="FO101" s="124"/>
      <c r="FP101" s="124"/>
      <c r="FQ101" s="124"/>
      <c r="FR101" s="124"/>
      <c r="FS101" s="124"/>
      <c r="FT101" s="124"/>
      <c r="FU101" s="124"/>
      <c r="FV101" s="124"/>
      <c r="FW101" s="124"/>
      <c r="FX101" s="124"/>
      <c r="FY101" s="124"/>
      <c r="FZ101" s="124"/>
      <c r="GA101" s="124"/>
      <c r="GB101" s="124"/>
      <c r="GC101" s="124"/>
      <c r="GD101" s="124"/>
      <c r="GE101" s="124"/>
      <c r="GF101" s="124"/>
      <c r="GG101" s="124"/>
      <c r="GH101" s="124"/>
      <c r="GI101" s="124"/>
      <c r="GJ101" s="124"/>
      <c r="GK101" s="124"/>
      <c r="GL101" s="124"/>
      <c r="GM101" s="124"/>
      <c r="GN101" s="124"/>
      <c r="GO101" s="124"/>
      <c r="GP101" s="124"/>
      <c r="GQ101" s="124"/>
      <c r="GR101" s="124"/>
      <c r="GS101" s="124"/>
      <c r="GT101" s="124"/>
      <c r="GU101" s="124"/>
      <c r="GV101" s="124"/>
      <c r="GW101" s="124"/>
      <c r="GX101" s="124"/>
      <c r="GY101" s="124"/>
      <c r="GZ101" s="124"/>
      <c r="HA101" s="124"/>
      <c r="HB101" s="124"/>
      <c r="HC101" s="124"/>
      <c r="HD101" s="124"/>
      <c r="HE101" s="124"/>
      <c r="HF101" s="124"/>
      <c r="HG101" s="124"/>
      <c r="HH101" s="124"/>
      <c r="HI101" s="124"/>
      <c r="HJ101" s="124"/>
      <c r="HK101" s="124"/>
      <c r="HL101" s="124"/>
      <c r="HM101" s="124"/>
      <c r="HN101" s="124"/>
      <c r="HO101" s="124"/>
      <c r="HP101" s="124"/>
      <c r="HQ101" s="124"/>
      <c r="HR101" s="124"/>
      <c r="HS101" s="124"/>
      <c r="HT101" s="124"/>
      <c r="HU101" s="124"/>
      <c r="HV101" s="124"/>
      <c r="HW101" s="124"/>
      <c r="HX101" s="124"/>
      <c r="HY101" s="124"/>
      <c r="HZ101" s="124"/>
      <c r="IA101" s="124"/>
      <c r="IB101" s="124"/>
      <c r="IC101" s="124"/>
      <c r="ID101" s="124"/>
      <c r="IE101" s="124"/>
      <c r="IF101" s="124"/>
      <c r="IG101" s="124"/>
      <c r="IH101" s="124"/>
      <c r="II101" s="124"/>
      <c r="IJ101" s="124"/>
      <c r="IK101" s="124"/>
      <c r="IL101" s="124"/>
      <c r="IM101" s="124"/>
      <c r="IN101" s="124"/>
      <c r="IO101" s="124"/>
      <c r="IP101" s="124"/>
      <c r="IQ101" s="124"/>
      <c r="IR101" s="124"/>
      <c r="IS101" s="124"/>
      <c r="IT101" s="124"/>
      <c r="IU101" s="124"/>
      <c r="IV101" s="124"/>
    </row>
    <row r="102" spans="1:256" hidden="1">
      <c r="A102" s="3" t="s">
        <v>53</v>
      </c>
      <c r="B102" s="3"/>
      <c r="C102" s="3">
        <f>IF(C101="",0,IF(C101=C100,1,-0.25))</f>
        <v>1</v>
      </c>
      <c r="D102" s="3">
        <f t="shared" ref="D102:P102" si="10">IF(D101="",0,IF(D101=D100,1,-0.25))</f>
        <v>1</v>
      </c>
      <c r="E102" s="3">
        <f t="shared" si="10"/>
        <v>1</v>
      </c>
      <c r="F102" s="3">
        <f t="shared" si="10"/>
        <v>1</v>
      </c>
      <c r="G102" s="3">
        <f t="shared" si="10"/>
        <v>1</v>
      </c>
      <c r="H102" s="3">
        <f t="shared" si="10"/>
        <v>1</v>
      </c>
      <c r="I102" s="3">
        <f t="shared" si="10"/>
        <v>-0.25</v>
      </c>
      <c r="J102" s="3">
        <f t="shared" si="10"/>
        <v>-0.25</v>
      </c>
      <c r="K102" s="3">
        <f t="shared" si="10"/>
        <v>1</v>
      </c>
      <c r="L102" s="3">
        <f t="shared" si="10"/>
        <v>1</v>
      </c>
      <c r="M102" s="3">
        <f t="shared" si="10"/>
        <v>1</v>
      </c>
      <c r="N102" s="3">
        <f t="shared" si="10"/>
        <v>-0.25</v>
      </c>
      <c r="O102" s="3">
        <f t="shared" si="10"/>
        <v>0</v>
      </c>
      <c r="P102" s="3">
        <f t="shared" si="10"/>
        <v>0</v>
      </c>
      <c r="Q102" s="3"/>
      <c r="R102" s="3"/>
      <c r="S102" s="3"/>
      <c r="T102" s="3"/>
      <c r="U102" s="3"/>
      <c r="V102" s="3"/>
    </row>
  </sheetData>
  <sheetProtection pivotTables="0"/>
  <mergeCells count="37">
    <mergeCell ref="E1:O1"/>
    <mergeCell ref="Q1:W1"/>
    <mergeCell ref="E2:H2"/>
    <mergeCell ref="I2:O2"/>
    <mergeCell ref="Q2:R2"/>
    <mergeCell ref="S2:W2"/>
    <mergeCell ref="F4:O4"/>
    <mergeCell ref="I5:J5"/>
    <mergeCell ref="I7:J7"/>
    <mergeCell ref="N7:O7"/>
    <mergeCell ref="A10:J10"/>
    <mergeCell ref="M10:V10"/>
    <mergeCell ref="H11:J13"/>
    <mergeCell ref="H19:S19"/>
    <mergeCell ref="A27:W27"/>
    <mergeCell ref="A28:E28"/>
    <mergeCell ref="G28:N28"/>
    <mergeCell ref="P28:W28"/>
    <mergeCell ref="V29:W30"/>
    <mergeCell ref="B31:C31"/>
    <mergeCell ref="J31:L31"/>
    <mergeCell ref="P31:Q31"/>
    <mergeCell ref="R31:T31"/>
    <mergeCell ref="V31:W31"/>
    <mergeCell ref="B29:C30"/>
    <mergeCell ref="D29:D30"/>
    <mergeCell ref="E29:E30"/>
    <mergeCell ref="R29:T30"/>
    <mergeCell ref="A29:A30"/>
    <mergeCell ref="G29:I29"/>
    <mergeCell ref="J29:M29"/>
    <mergeCell ref="U29:U30"/>
    <mergeCell ref="A37:B37"/>
    <mergeCell ref="A44:B44"/>
    <mergeCell ref="A56:B56"/>
    <mergeCell ref="N29:N30"/>
    <mergeCell ref="P29:Q30"/>
  </mergeCells>
  <dataValidations count="1">
    <dataValidation type="list" allowBlank="1" showInputMessage="1" showErrorMessage="1" sqref="C87:R87 C94:U94 C37:V37 C44:V44 C56:V56 C49:F49 C61:Q61 C68:J68 C75:V75 C80:F80 C101:P101">
      <formula1>$Y$54:$Y$59</formula1>
    </dataValidation>
  </dataValidations>
  <pageMargins left="0.25" right="0.25" top="0.75" bottom="0.75" header="0.3" footer="0.3"/>
  <pageSetup orientation="landscape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Scorereport">
                <anchor moveWithCells="1" sizeWithCells="1">
                  <from>
                    <xdr:col>0</xdr:col>
                    <xdr:colOff>101600</xdr:colOff>
                    <xdr:row>4</xdr:row>
                    <xdr:rowOff>190500</xdr:rowOff>
                  </from>
                  <to>
                    <xdr:col>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109"/>
  <sheetViews>
    <sheetView zoomScale="85" zoomScaleNormal="85" zoomScalePageLayoutView="85" workbookViewId="0">
      <selection activeCell="C18" sqref="C18"/>
    </sheetView>
  </sheetViews>
  <sheetFormatPr baseColWidth="10" defaultColWidth="8.83203125" defaultRowHeight="14" x14ac:dyDescent="0"/>
  <cols>
    <col min="1" max="1" width="10" style="10" bestFit="1" customWidth="1"/>
    <col min="2" max="2" width="9.83203125" style="10" customWidth="1"/>
    <col min="3" max="3" width="8.83203125" style="10"/>
    <col min="4" max="4" width="10.83203125" style="10" bestFit="1" customWidth="1"/>
    <col min="5" max="5" width="8.83203125" style="10"/>
    <col min="6" max="6" width="11.6640625" style="10" bestFit="1" customWidth="1"/>
    <col min="7" max="7" width="13.33203125" style="10" bestFit="1" customWidth="1"/>
    <col min="8" max="8" width="8.83203125" style="10"/>
    <col min="9" max="9" width="9.83203125" style="10" customWidth="1"/>
    <col min="10" max="10" width="10.33203125" style="10" customWidth="1"/>
    <col min="11" max="11" width="9.83203125" style="10" customWidth="1"/>
    <col min="12" max="14" width="8.83203125" style="10"/>
    <col min="15" max="15" width="12" style="10" customWidth="1"/>
    <col min="16" max="16" width="12.33203125" style="10" customWidth="1"/>
    <col min="17" max="16384" width="8.83203125" style="10"/>
  </cols>
  <sheetData>
    <row r="1" spans="1:18" ht="23" thickBot="1">
      <c r="A1" s="199" t="s">
        <v>64</v>
      </c>
      <c r="B1" s="199"/>
      <c r="C1" s="199"/>
      <c r="D1" s="199"/>
      <c r="G1" s="11" t="s">
        <v>65</v>
      </c>
      <c r="H1" s="12" t="s">
        <v>66</v>
      </c>
      <c r="I1" s="13" t="s">
        <v>67</v>
      </c>
      <c r="J1" s="13" t="s">
        <v>68</v>
      </c>
      <c r="K1" s="13" t="s">
        <v>69</v>
      </c>
      <c r="L1" s="13" t="s">
        <v>70</v>
      </c>
    </row>
    <row r="2" spans="1:18" ht="15" thickBot="1">
      <c r="A2" s="26"/>
      <c r="B2" s="26"/>
      <c r="C2" s="26"/>
      <c r="D2" s="26"/>
      <c r="G2" s="11"/>
      <c r="H2" s="15">
        <v>0</v>
      </c>
      <c r="I2" s="80">
        <v>11</v>
      </c>
      <c r="J2" s="81" t="s">
        <v>99</v>
      </c>
      <c r="K2" s="81">
        <v>9</v>
      </c>
      <c r="L2" s="16">
        <v>530</v>
      </c>
    </row>
    <row r="3" spans="1:18" ht="29.25" customHeight="1" thickBot="1">
      <c r="A3" s="14" t="s">
        <v>71</v>
      </c>
      <c r="B3" s="14" t="s">
        <v>13</v>
      </c>
      <c r="C3" s="14" t="s">
        <v>12</v>
      </c>
      <c r="D3" s="14" t="s">
        <v>72</v>
      </c>
      <c r="H3" s="15">
        <v>350</v>
      </c>
      <c r="I3" s="81">
        <v>11</v>
      </c>
      <c r="J3" s="81" t="s">
        <v>99</v>
      </c>
      <c r="K3" s="81">
        <v>9</v>
      </c>
      <c r="L3" s="16">
        <v>530</v>
      </c>
      <c r="N3" s="82"/>
      <c r="O3" s="83"/>
      <c r="P3" s="83"/>
      <c r="Q3" s="83"/>
      <c r="R3" s="82"/>
    </row>
    <row r="4" spans="1:18" ht="29.25" customHeight="1" thickBot="1">
      <c r="A4" s="84">
        <v>-10</v>
      </c>
      <c r="B4" s="84">
        <v>200</v>
      </c>
      <c r="C4" s="84">
        <v>200</v>
      </c>
      <c r="D4" s="84">
        <v>20</v>
      </c>
      <c r="H4" s="15">
        <v>400</v>
      </c>
      <c r="I4" s="81">
        <v>13</v>
      </c>
      <c r="J4" s="81" t="s">
        <v>102</v>
      </c>
      <c r="K4" s="81">
        <v>10</v>
      </c>
      <c r="L4" s="16">
        <v>570</v>
      </c>
      <c r="N4" s="82"/>
      <c r="O4" s="83"/>
      <c r="P4" s="83"/>
      <c r="Q4" s="83"/>
      <c r="R4" s="82"/>
    </row>
    <row r="5" spans="1:18" ht="24" customHeight="1" thickBot="1">
      <c r="A5" s="85">
        <v>-4</v>
      </c>
      <c r="B5" s="85">
        <v>200</v>
      </c>
      <c r="C5" s="85">
        <v>200</v>
      </c>
      <c r="D5" s="85">
        <v>20</v>
      </c>
      <c r="H5" s="15">
        <v>450</v>
      </c>
      <c r="I5" s="86">
        <v>14</v>
      </c>
      <c r="J5" s="86" t="s">
        <v>103</v>
      </c>
      <c r="K5" s="86">
        <v>12</v>
      </c>
      <c r="L5" s="16">
        <v>610</v>
      </c>
      <c r="N5" s="82"/>
      <c r="O5" s="83"/>
      <c r="P5" s="83"/>
      <c r="Q5" s="83"/>
      <c r="R5" s="82"/>
    </row>
    <row r="6" spans="1:18" ht="16" thickBot="1">
      <c r="A6" s="87">
        <v>-3</v>
      </c>
      <c r="B6" s="87">
        <v>200</v>
      </c>
      <c r="C6" s="87">
        <v>200</v>
      </c>
      <c r="D6" s="87">
        <v>20</v>
      </c>
      <c r="H6" s="15">
        <v>500</v>
      </c>
      <c r="I6" s="86">
        <v>16</v>
      </c>
      <c r="J6" s="86" t="s">
        <v>104</v>
      </c>
      <c r="K6" s="86">
        <v>13</v>
      </c>
      <c r="L6" s="16">
        <v>650</v>
      </c>
      <c r="N6" s="82"/>
      <c r="O6" s="88"/>
      <c r="P6" s="88"/>
      <c r="Q6" s="88"/>
      <c r="R6" s="82"/>
    </row>
    <row r="7" spans="1:18" ht="16" thickBot="1">
      <c r="A7" s="87">
        <v>-2</v>
      </c>
      <c r="B7" s="87">
        <v>210</v>
      </c>
      <c r="C7" s="87">
        <v>200</v>
      </c>
      <c r="D7" s="87">
        <v>20</v>
      </c>
      <c r="H7" s="15">
        <v>550</v>
      </c>
      <c r="I7" s="86">
        <v>18</v>
      </c>
      <c r="J7" s="86" t="s">
        <v>105</v>
      </c>
      <c r="K7" s="86">
        <v>14</v>
      </c>
      <c r="L7" s="16">
        <v>700</v>
      </c>
      <c r="N7" s="82"/>
      <c r="O7" s="88"/>
      <c r="P7" s="88"/>
      <c r="Q7" s="88"/>
      <c r="R7" s="82"/>
    </row>
    <row r="8" spans="1:18" ht="23" thickBot="1">
      <c r="A8" s="87">
        <v>-1</v>
      </c>
      <c r="B8" s="87">
        <v>230</v>
      </c>
      <c r="C8" s="87">
        <v>200</v>
      </c>
      <c r="D8" s="87">
        <v>22</v>
      </c>
      <c r="H8" s="15">
        <v>600</v>
      </c>
      <c r="I8" s="89" t="s">
        <v>106</v>
      </c>
      <c r="J8" s="89" t="s">
        <v>106</v>
      </c>
      <c r="K8" s="89" t="s">
        <v>106</v>
      </c>
      <c r="L8" s="16">
        <v>730</v>
      </c>
      <c r="N8" s="82"/>
      <c r="O8" s="88"/>
      <c r="P8" s="88"/>
      <c r="Q8" s="88"/>
      <c r="R8" s="82"/>
    </row>
    <row r="9" spans="1:18" ht="23" thickBot="1">
      <c r="A9" s="87">
        <v>0</v>
      </c>
      <c r="B9" s="87">
        <v>250</v>
      </c>
      <c r="C9" s="87">
        <v>210</v>
      </c>
      <c r="D9" s="87">
        <v>24</v>
      </c>
      <c r="H9" s="15">
        <v>650</v>
      </c>
      <c r="I9" s="89" t="s">
        <v>73</v>
      </c>
      <c r="J9" s="89" t="s">
        <v>73</v>
      </c>
      <c r="K9" s="89" t="s">
        <v>73</v>
      </c>
      <c r="L9" s="16">
        <v>800</v>
      </c>
      <c r="N9" s="82"/>
      <c r="O9" s="88"/>
      <c r="P9" s="88"/>
      <c r="Q9" s="88"/>
      <c r="R9" s="82"/>
    </row>
    <row r="10" spans="1:18" ht="15">
      <c r="A10" s="87">
        <v>1</v>
      </c>
      <c r="B10" s="87">
        <v>270</v>
      </c>
      <c r="C10" s="87">
        <v>240</v>
      </c>
      <c r="D10" s="87">
        <v>25</v>
      </c>
      <c r="N10" s="82"/>
      <c r="O10" s="88"/>
      <c r="P10" s="88"/>
      <c r="Q10" s="88"/>
      <c r="R10" s="82"/>
    </row>
    <row r="11" spans="1:18" ht="15">
      <c r="A11" s="87">
        <v>2</v>
      </c>
      <c r="B11" s="87">
        <v>280</v>
      </c>
      <c r="C11" s="87">
        <v>260</v>
      </c>
      <c r="D11" s="87">
        <v>27</v>
      </c>
      <c r="F11" s="17"/>
      <c r="G11" s="206" t="s">
        <v>74</v>
      </c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8"/>
    </row>
    <row r="12" spans="1:18" ht="15">
      <c r="A12" s="87">
        <v>3</v>
      </c>
      <c r="B12" s="87">
        <v>300</v>
      </c>
      <c r="C12" s="87">
        <v>280</v>
      </c>
      <c r="D12" s="87">
        <v>28</v>
      </c>
      <c r="F12" s="120" t="s">
        <v>75</v>
      </c>
      <c r="G12" s="14">
        <v>12</v>
      </c>
      <c r="H12" s="14">
        <v>11</v>
      </c>
      <c r="I12" s="14">
        <v>10</v>
      </c>
      <c r="J12" s="14">
        <v>9</v>
      </c>
      <c r="K12" s="14">
        <v>8</v>
      </c>
      <c r="L12" s="14">
        <v>7</v>
      </c>
      <c r="M12" s="14">
        <v>6</v>
      </c>
      <c r="N12" s="14">
        <v>5</v>
      </c>
      <c r="O12" s="14">
        <v>4</v>
      </c>
      <c r="P12" s="14">
        <v>3</v>
      </c>
      <c r="Q12" s="14">
        <v>2</v>
      </c>
      <c r="R12" s="14">
        <v>0</v>
      </c>
    </row>
    <row r="13" spans="1:18" ht="15">
      <c r="A13" s="87">
        <v>4</v>
      </c>
      <c r="B13" s="87">
        <v>310</v>
      </c>
      <c r="C13" s="87">
        <v>290</v>
      </c>
      <c r="D13" s="87">
        <v>30</v>
      </c>
      <c r="F13" s="121">
        <v>49</v>
      </c>
      <c r="G13" s="17">
        <v>800</v>
      </c>
      <c r="H13" s="17">
        <v>800</v>
      </c>
      <c r="I13" s="17">
        <v>800</v>
      </c>
      <c r="J13" s="17">
        <v>790</v>
      </c>
      <c r="K13" s="17">
        <v>770</v>
      </c>
      <c r="L13" s="17">
        <v>750</v>
      </c>
      <c r="M13" s="17">
        <v>740</v>
      </c>
      <c r="N13" s="17">
        <v>720</v>
      </c>
      <c r="O13" s="17">
        <v>710</v>
      </c>
      <c r="P13" s="17">
        <v>700</v>
      </c>
      <c r="Q13" s="17">
        <v>680</v>
      </c>
      <c r="R13" s="17">
        <v>670</v>
      </c>
    </row>
    <row r="14" spans="1:18" ht="15">
      <c r="A14" s="87">
        <v>5</v>
      </c>
      <c r="B14" s="87">
        <v>320</v>
      </c>
      <c r="C14" s="87">
        <v>310</v>
      </c>
      <c r="D14" s="87">
        <v>31</v>
      </c>
      <c r="F14" s="121">
        <v>48</v>
      </c>
      <c r="G14" s="17">
        <v>800</v>
      </c>
      <c r="H14" s="17">
        <v>800</v>
      </c>
      <c r="I14" s="17">
        <v>780</v>
      </c>
      <c r="J14" s="17">
        <v>760</v>
      </c>
      <c r="K14" s="17">
        <v>740</v>
      </c>
      <c r="L14" s="17">
        <v>720</v>
      </c>
      <c r="M14" s="17">
        <v>710</v>
      </c>
      <c r="N14" s="17">
        <v>690</v>
      </c>
      <c r="O14" s="17">
        <v>680</v>
      </c>
      <c r="P14" s="17">
        <v>670</v>
      </c>
      <c r="Q14" s="17">
        <v>650</v>
      </c>
      <c r="R14" s="17">
        <v>640</v>
      </c>
    </row>
    <row r="15" spans="1:18" ht="15">
      <c r="A15" s="87">
        <v>6</v>
      </c>
      <c r="B15" s="87">
        <v>330</v>
      </c>
      <c r="C15" s="87">
        <v>320</v>
      </c>
      <c r="D15" s="87">
        <v>32</v>
      </c>
      <c r="F15" s="121">
        <v>47</v>
      </c>
      <c r="G15" s="17">
        <v>790</v>
      </c>
      <c r="H15" s="17">
        <v>770</v>
      </c>
      <c r="I15" s="17">
        <v>760</v>
      </c>
      <c r="J15" s="17">
        <v>740</v>
      </c>
      <c r="K15" s="17">
        <v>720</v>
      </c>
      <c r="L15" s="17">
        <v>700</v>
      </c>
      <c r="M15" s="17">
        <v>690</v>
      </c>
      <c r="N15" s="17">
        <v>670</v>
      </c>
      <c r="O15" s="17">
        <v>660</v>
      </c>
      <c r="P15" s="17">
        <v>640</v>
      </c>
      <c r="Q15" s="17">
        <v>630</v>
      </c>
      <c r="R15" s="17">
        <v>620</v>
      </c>
    </row>
    <row r="16" spans="1:18" ht="15">
      <c r="A16" s="87">
        <v>7</v>
      </c>
      <c r="B16" s="87">
        <v>340</v>
      </c>
      <c r="C16" s="87">
        <v>330</v>
      </c>
      <c r="D16" s="87">
        <v>33</v>
      </c>
      <c r="F16" s="121">
        <v>46</v>
      </c>
      <c r="G16" s="17">
        <v>770</v>
      </c>
      <c r="H16" s="17">
        <v>750</v>
      </c>
      <c r="I16" s="17">
        <v>740</v>
      </c>
      <c r="J16" s="17">
        <v>720</v>
      </c>
      <c r="K16" s="17">
        <v>700</v>
      </c>
      <c r="L16" s="17">
        <v>680</v>
      </c>
      <c r="M16" s="17">
        <v>670</v>
      </c>
      <c r="N16" s="17">
        <v>650</v>
      </c>
      <c r="O16" s="17">
        <v>640</v>
      </c>
      <c r="P16" s="17">
        <v>630</v>
      </c>
      <c r="Q16" s="17">
        <v>610</v>
      </c>
      <c r="R16" s="17">
        <v>600</v>
      </c>
    </row>
    <row r="17" spans="1:18" ht="15">
      <c r="A17" s="87">
        <v>8</v>
      </c>
      <c r="B17" s="87">
        <v>350</v>
      </c>
      <c r="C17" s="87">
        <v>350</v>
      </c>
      <c r="D17" s="87">
        <v>34</v>
      </c>
      <c r="F17" s="121">
        <v>45</v>
      </c>
      <c r="G17" s="17">
        <v>760</v>
      </c>
      <c r="H17" s="17">
        <v>740</v>
      </c>
      <c r="I17" s="17">
        <v>720</v>
      </c>
      <c r="J17" s="17">
        <v>710</v>
      </c>
      <c r="K17" s="17">
        <v>690</v>
      </c>
      <c r="L17" s="17">
        <v>670</v>
      </c>
      <c r="M17" s="17">
        <v>650</v>
      </c>
      <c r="N17" s="17">
        <v>640</v>
      </c>
      <c r="O17" s="17">
        <v>630</v>
      </c>
      <c r="P17" s="17">
        <v>610</v>
      </c>
      <c r="Q17" s="17">
        <v>590</v>
      </c>
      <c r="R17" s="17">
        <v>580</v>
      </c>
    </row>
    <row r="18" spans="1:18" ht="15">
      <c r="A18" s="87">
        <v>9</v>
      </c>
      <c r="B18" s="87">
        <v>360</v>
      </c>
      <c r="C18" s="87">
        <v>360</v>
      </c>
      <c r="D18" s="87">
        <v>35</v>
      </c>
      <c r="F18" s="121">
        <v>44</v>
      </c>
      <c r="G18" s="17">
        <v>740</v>
      </c>
      <c r="H18" s="17">
        <v>730</v>
      </c>
      <c r="I18" s="17">
        <v>710</v>
      </c>
      <c r="J18" s="17">
        <v>700</v>
      </c>
      <c r="K18" s="17">
        <v>670</v>
      </c>
      <c r="L18" s="17">
        <v>660</v>
      </c>
      <c r="M18" s="17">
        <v>640</v>
      </c>
      <c r="N18" s="17">
        <v>620</v>
      </c>
      <c r="O18" s="17">
        <v>610</v>
      </c>
      <c r="P18" s="17">
        <v>600</v>
      </c>
      <c r="Q18" s="17">
        <v>580</v>
      </c>
      <c r="R18" s="17">
        <v>570</v>
      </c>
    </row>
    <row r="19" spans="1:18" ht="15">
      <c r="A19" s="87">
        <v>10</v>
      </c>
      <c r="B19" s="87">
        <v>370</v>
      </c>
      <c r="C19" s="87">
        <v>370</v>
      </c>
      <c r="D19" s="87">
        <v>36</v>
      </c>
      <c r="F19" s="121">
        <v>43</v>
      </c>
      <c r="G19" s="17">
        <v>730</v>
      </c>
      <c r="H19" s="17">
        <v>720</v>
      </c>
      <c r="I19" s="17">
        <v>700</v>
      </c>
      <c r="J19" s="17">
        <v>680</v>
      </c>
      <c r="K19" s="17">
        <v>660</v>
      </c>
      <c r="L19" s="17">
        <v>640</v>
      </c>
      <c r="M19" s="17">
        <v>630</v>
      </c>
      <c r="N19" s="17">
        <v>610</v>
      </c>
      <c r="O19" s="17">
        <v>600</v>
      </c>
      <c r="P19" s="17">
        <v>590</v>
      </c>
      <c r="Q19" s="17">
        <v>570</v>
      </c>
      <c r="R19" s="17">
        <v>560</v>
      </c>
    </row>
    <row r="20" spans="1:18" ht="15">
      <c r="A20" s="87">
        <v>11</v>
      </c>
      <c r="B20" s="87">
        <v>380</v>
      </c>
      <c r="C20" s="87">
        <v>380</v>
      </c>
      <c r="D20" s="87">
        <v>37</v>
      </c>
      <c r="F20" s="121">
        <v>42</v>
      </c>
      <c r="G20" s="17">
        <v>720</v>
      </c>
      <c r="H20" s="17">
        <v>700</v>
      </c>
      <c r="I20" s="17">
        <v>690</v>
      </c>
      <c r="J20" s="17">
        <v>670</v>
      </c>
      <c r="K20" s="17">
        <v>650</v>
      </c>
      <c r="L20" s="17">
        <v>630</v>
      </c>
      <c r="M20" s="17">
        <v>620</v>
      </c>
      <c r="N20" s="17">
        <v>600</v>
      </c>
      <c r="O20" s="17">
        <v>590</v>
      </c>
      <c r="P20" s="17">
        <v>570</v>
      </c>
      <c r="Q20" s="17">
        <v>560</v>
      </c>
      <c r="R20" s="17">
        <v>550</v>
      </c>
    </row>
    <row r="21" spans="1:18" ht="15">
      <c r="A21" s="87">
        <v>12</v>
      </c>
      <c r="B21" s="87">
        <v>380</v>
      </c>
      <c r="C21" s="87">
        <v>390</v>
      </c>
      <c r="D21" s="87">
        <v>38</v>
      </c>
      <c r="F21" s="121">
        <v>41</v>
      </c>
      <c r="G21" s="17">
        <v>710</v>
      </c>
      <c r="H21" s="17">
        <v>690</v>
      </c>
      <c r="I21" s="17">
        <v>680</v>
      </c>
      <c r="J21" s="17">
        <v>660</v>
      </c>
      <c r="K21" s="17">
        <v>640</v>
      </c>
      <c r="L21" s="17">
        <v>620</v>
      </c>
      <c r="M21" s="17">
        <v>610</v>
      </c>
      <c r="N21" s="17">
        <v>590</v>
      </c>
      <c r="O21" s="17">
        <v>580</v>
      </c>
      <c r="P21" s="17">
        <v>560</v>
      </c>
      <c r="Q21" s="17">
        <v>550</v>
      </c>
      <c r="R21" s="17">
        <v>540</v>
      </c>
    </row>
    <row r="22" spans="1:18" ht="15">
      <c r="A22" s="87">
        <v>13</v>
      </c>
      <c r="B22" s="87">
        <v>390</v>
      </c>
      <c r="C22" s="87">
        <v>400</v>
      </c>
      <c r="D22" s="87">
        <v>39</v>
      </c>
      <c r="F22" s="121">
        <v>40</v>
      </c>
      <c r="G22" s="17">
        <v>700</v>
      </c>
      <c r="H22" s="17">
        <v>680</v>
      </c>
      <c r="I22" s="17">
        <v>670</v>
      </c>
      <c r="J22" s="17">
        <v>650</v>
      </c>
      <c r="K22" s="17">
        <v>630</v>
      </c>
      <c r="L22" s="17">
        <v>610</v>
      </c>
      <c r="M22" s="17">
        <v>600</v>
      </c>
      <c r="N22" s="17">
        <v>580</v>
      </c>
      <c r="O22" s="17">
        <v>570</v>
      </c>
      <c r="P22" s="17">
        <v>550</v>
      </c>
      <c r="Q22" s="17">
        <v>540</v>
      </c>
      <c r="R22" s="17">
        <v>530</v>
      </c>
    </row>
    <row r="23" spans="1:18" ht="15">
      <c r="A23" s="87">
        <v>14</v>
      </c>
      <c r="B23" s="87">
        <v>400</v>
      </c>
      <c r="C23" s="87">
        <v>410</v>
      </c>
      <c r="D23" s="87">
        <v>40</v>
      </c>
      <c r="F23" s="121">
        <v>39</v>
      </c>
      <c r="G23" s="17">
        <v>690</v>
      </c>
      <c r="H23" s="17">
        <v>680</v>
      </c>
      <c r="I23" s="17">
        <v>660</v>
      </c>
      <c r="J23" s="17">
        <v>640</v>
      </c>
      <c r="K23" s="17">
        <v>620</v>
      </c>
      <c r="L23" s="17">
        <v>600</v>
      </c>
      <c r="M23" s="17">
        <v>590</v>
      </c>
      <c r="N23" s="17">
        <v>570</v>
      </c>
      <c r="O23" s="17">
        <v>560</v>
      </c>
      <c r="P23" s="17">
        <v>550</v>
      </c>
      <c r="Q23" s="17">
        <v>530</v>
      </c>
      <c r="R23" s="17">
        <v>520</v>
      </c>
    </row>
    <row r="24" spans="1:18" ht="15">
      <c r="A24" s="87">
        <v>15</v>
      </c>
      <c r="B24" s="87">
        <v>410</v>
      </c>
      <c r="C24" s="87">
        <v>420</v>
      </c>
      <c r="D24" s="87">
        <v>41</v>
      </c>
      <c r="F24" s="121">
        <v>38</v>
      </c>
      <c r="G24" s="17">
        <v>680</v>
      </c>
      <c r="H24" s="17">
        <v>670</v>
      </c>
      <c r="I24" s="17">
        <v>650</v>
      </c>
      <c r="J24" s="17">
        <v>630</v>
      </c>
      <c r="K24" s="17">
        <v>610</v>
      </c>
      <c r="L24" s="17">
        <v>600</v>
      </c>
      <c r="M24" s="17">
        <v>580</v>
      </c>
      <c r="N24" s="17">
        <v>560</v>
      </c>
      <c r="O24" s="17">
        <v>550</v>
      </c>
      <c r="P24" s="17">
        <v>540</v>
      </c>
      <c r="Q24" s="17">
        <v>520</v>
      </c>
      <c r="R24" s="17">
        <v>510</v>
      </c>
    </row>
    <row r="25" spans="1:18" ht="15">
      <c r="A25" s="87">
        <v>16</v>
      </c>
      <c r="B25" s="87">
        <v>410</v>
      </c>
      <c r="C25" s="87">
        <v>420</v>
      </c>
      <c r="D25" s="87">
        <v>41</v>
      </c>
      <c r="F25" s="121">
        <v>37</v>
      </c>
      <c r="G25" s="17">
        <v>670</v>
      </c>
      <c r="H25" s="17">
        <v>660</v>
      </c>
      <c r="I25" s="17">
        <v>640</v>
      </c>
      <c r="J25" s="17">
        <v>630</v>
      </c>
      <c r="K25" s="17">
        <v>610</v>
      </c>
      <c r="L25" s="17">
        <v>590</v>
      </c>
      <c r="M25" s="17">
        <v>570</v>
      </c>
      <c r="N25" s="17">
        <v>550</v>
      </c>
      <c r="O25" s="17">
        <v>540</v>
      </c>
      <c r="P25" s="17">
        <v>530</v>
      </c>
      <c r="Q25" s="17">
        <v>510</v>
      </c>
      <c r="R25" s="17">
        <v>500</v>
      </c>
    </row>
    <row r="26" spans="1:18" ht="15">
      <c r="A26" s="87">
        <v>17</v>
      </c>
      <c r="B26" s="87">
        <v>420</v>
      </c>
      <c r="C26" s="87">
        <v>430</v>
      </c>
      <c r="D26" s="87">
        <v>42</v>
      </c>
      <c r="F26" s="121">
        <v>36</v>
      </c>
      <c r="G26" s="17">
        <v>660</v>
      </c>
      <c r="H26" s="17">
        <v>650</v>
      </c>
      <c r="I26" s="17">
        <v>630</v>
      </c>
      <c r="J26" s="17">
        <v>620</v>
      </c>
      <c r="K26" s="17">
        <v>600</v>
      </c>
      <c r="L26" s="17">
        <v>580</v>
      </c>
      <c r="M26" s="17">
        <v>560</v>
      </c>
      <c r="N26" s="17">
        <v>550</v>
      </c>
      <c r="O26" s="17">
        <v>530</v>
      </c>
      <c r="P26" s="17">
        <v>520</v>
      </c>
      <c r="Q26" s="17">
        <v>500</v>
      </c>
      <c r="R26" s="17">
        <v>490</v>
      </c>
    </row>
    <row r="27" spans="1:18" ht="15">
      <c r="A27" s="87">
        <v>18</v>
      </c>
      <c r="B27" s="87">
        <v>430</v>
      </c>
      <c r="C27" s="87">
        <v>440</v>
      </c>
      <c r="D27" s="87">
        <v>43</v>
      </c>
      <c r="F27" s="121">
        <v>35</v>
      </c>
      <c r="G27" s="17">
        <v>660</v>
      </c>
      <c r="H27" s="17">
        <v>640</v>
      </c>
      <c r="I27" s="17">
        <v>620</v>
      </c>
      <c r="J27" s="17">
        <v>610</v>
      </c>
      <c r="K27" s="17">
        <v>590</v>
      </c>
      <c r="L27" s="17">
        <v>570</v>
      </c>
      <c r="M27" s="17">
        <v>550</v>
      </c>
      <c r="N27" s="17">
        <v>540</v>
      </c>
      <c r="O27" s="17">
        <v>530</v>
      </c>
      <c r="P27" s="17">
        <v>510</v>
      </c>
      <c r="Q27" s="17">
        <v>490</v>
      </c>
      <c r="R27" s="17">
        <v>480</v>
      </c>
    </row>
    <row r="28" spans="1:18" ht="15">
      <c r="A28" s="87">
        <v>19</v>
      </c>
      <c r="B28" s="87">
        <v>430</v>
      </c>
      <c r="C28" s="87">
        <v>450</v>
      </c>
      <c r="D28" s="87">
        <v>44</v>
      </c>
      <c r="F28" s="121">
        <v>34</v>
      </c>
      <c r="G28" s="17">
        <v>650</v>
      </c>
      <c r="H28" s="17">
        <v>630</v>
      </c>
      <c r="I28" s="17">
        <v>620</v>
      </c>
      <c r="J28" s="17">
        <v>600</v>
      </c>
      <c r="K28" s="17">
        <v>580</v>
      </c>
      <c r="L28" s="17">
        <v>560</v>
      </c>
      <c r="M28" s="17">
        <v>550</v>
      </c>
      <c r="N28" s="17">
        <v>530</v>
      </c>
      <c r="O28" s="17">
        <v>520</v>
      </c>
      <c r="P28" s="17">
        <v>500</v>
      </c>
      <c r="Q28" s="17">
        <v>490</v>
      </c>
      <c r="R28" s="17">
        <v>480</v>
      </c>
    </row>
    <row r="29" spans="1:18" ht="15">
      <c r="A29" s="87">
        <v>20</v>
      </c>
      <c r="B29" s="87">
        <v>440</v>
      </c>
      <c r="C29" s="87">
        <v>460</v>
      </c>
      <c r="D29" s="87">
        <v>45</v>
      </c>
      <c r="F29" s="121">
        <v>33</v>
      </c>
      <c r="G29" s="17">
        <v>640</v>
      </c>
      <c r="H29" s="17">
        <v>620</v>
      </c>
      <c r="I29" s="17">
        <v>610</v>
      </c>
      <c r="J29" s="17">
        <v>590</v>
      </c>
      <c r="K29" s="17">
        <v>570</v>
      </c>
      <c r="L29" s="17">
        <v>550</v>
      </c>
      <c r="M29" s="17">
        <v>540</v>
      </c>
      <c r="N29" s="17">
        <v>520</v>
      </c>
      <c r="O29" s="17">
        <v>510</v>
      </c>
      <c r="P29" s="17">
        <v>490</v>
      </c>
      <c r="Q29" s="17">
        <v>480</v>
      </c>
      <c r="R29" s="17">
        <v>470</v>
      </c>
    </row>
    <row r="30" spans="1:18" ht="15">
      <c r="A30" s="87">
        <v>21</v>
      </c>
      <c r="B30" s="87">
        <v>450</v>
      </c>
      <c r="C30" s="87">
        <v>470</v>
      </c>
      <c r="D30" s="87">
        <v>46</v>
      </c>
      <c r="F30" s="121">
        <v>32</v>
      </c>
      <c r="G30" s="17">
        <v>630</v>
      </c>
      <c r="H30" s="17">
        <v>620</v>
      </c>
      <c r="I30" s="17">
        <v>600</v>
      </c>
      <c r="J30" s="17">
        <v>580</v>
      </c>
      <c r="K30" s="17">
        <v>560</v>
      </c>
      <c r="L30" s="17">
        <v>540</v>
      </c>
      <c r="M30" s="17">
        <v>530</v>
      </c>
      <c r="N30" s="17">
        <v>510</v>
      </c>
      <c r="O30" s="17">
        <v>500</v>
      </c>
      <c r="P30" s="17">
        <v>490</v>
      </c>
      <c r="Q30" s="17">
        <v>470</v>
      </c>
      <c r="R30" s="17">
        <v>460</v>
      </c>
    </row>
    <row r="31" spans="1:18" ht="15">
      <c r="A31" s="87">
        <v>22</v>
      </c>
      <c r="B31" s="87">
        <v>450</v>
      </c>
      <c r="C31" s="87">
        <v>480</v>
      </c>
      <c r="D31" s="87">
        <v>47</v>
      </c>
      <c r="F31" s="121">
        <v>31</v>
      </c>
      <c r="G31" s="17">
        <v>620</v>
      </c>
      <c r="H31" s="17">
        <v>610</v>
      </c>
      <c r="I31" s="17">
        <v>590</v>
      </c>
      <c r="J31" s="17">
        <v>580</v>
      </c>
      <c r="K31" s="17">
        <v>550</v>
      </c>
      <c r="L31" s="17">
        <v>540</v>
      </c>
      <c r="M31" s="17">
        <v>520</v>
      </c>
      <c r="N31" s="17">
        <v>500</v>
      </c>
      <c r="O31" s="17">
        <v>490</v>
      </c>
      <c r="P31" s="17">
        <v>480</v>
      </c>
      <c r="Q31" s="17">
        <v>460</v>
      </c>
      <c r="R31" s="17">
        <v>450</v>
      </c>
    </row>
    <row r="32" spans="1:18" ht="15">
      <c r="A32" s="87">
        <v>23</v>
      </c>
      <c r="B32" s="87">
        <v>460</v>
      </c>
      <c r="C32" s="87">
        <v>490</v>
      </c>
      <c r="D32" s="87">
        <v>47</v>
      </c>
      <c r="F32" s="121">
        <v>30</v>
      </c>
      <c r="G32" s="17">
        <v>610</v>
      </c>
      <c r="H32" s="17">
        <v>600</v>
      </c>
      <c r="I32" s="17">
        <v>580</v>
      </c>
      <c r="J32" s="17">
        <v>570</v>
      </c>
      <c r="K32" s="17">
        <v>550</v>
      </c>
      <c r="L32" s="17">
        <v>530</v>
      </c>
      <c r="M32" s="17">
        <v>510</v>
      </c>
      <c r="N32" s="17">
        <v>500</v>
      </c>
      <c r="O32" s="17">
        <v>480</v>
      </c>
      <c r="P32" s="17">
        <v>470</v>
      </c>
      <c r="Q32" s="17">
        <v>450</v>
      </c>
      <c r="R32" s="17">
        <v>440</v>
      </c>
    </row>
    <row r="33" spans="1:18" ht="15">
      <c r="A33" s="87">
        <v>24</v>
      </c>
      <c r="B33" s="87">
        <v>460</v>
      </c>
      <c r="C33" s="87">
        <v>500</v>
      </c>
      <c r="D33" s="87">
        <v>48</v>
      </c>
      <c r="F33" s="121">
        <v>29</v>
      </c>
      <c r="G33" s="17">
        <v>610</v>
      </c>
      <c r="H33" s="17">
        <v>590</v>
      </c>
      <c r="I33" s="17">
        <v>570</v>
      </c>
      <c r="J33" s="17">
        <v>560</v>
      </c>
      <c r="K33" s="17">
        <v>540</v>
      </c>
      <c r="L33" s="17">
        <v>520</v>
      </c>
      <c r="M33" s="17">
        <v>500</v>
      </c>
      <c r="N33" s="17">
        <v>490</v>
      </c>
      <c r="O33" s="17">
        <v>480</v>
      </c>
      <c r="P33" s="17">
        <v>460</v>
      </c>
      <c r="Q33" s="17">
        <v>440</v>
      </c>
      <c r="R33" s="17">
        <v>430</v>
      </c>
    </row>
    <row r="34" spans="1:18" ht="15">
      <c r="A34" s="87">
        <v>25</v>
      </c>
      <c r="B34" s="87">
        <v>470</v>
      </c>
      <c r="C34" s="87">
        <v>510</v>
      </c>
      <c r="D34" s="87">
        <v>49</v>
      </c>
      <c r="F34" s="121">
        <v>28</v>
      </c>
      <c r="G34" s="17">
        <v>600</v>
      </c>
      <c r="H34" s="17">
        <v>580</v>
      </c>
      <c r="I34" s="17">
        <v>570</v>
      </c>
      <c r="J34" s="17">
        <v>550</v>
      </c>
      <c r="K34" s="17">
        <v>530</v>
      </c>
      <c r="L34" s="17">
        <v>510</v>
      </c>
      <c r="M34" s="17">
        <v>490</v>
      </c>
      <c r="N34" s="17">
        <v>480</v>
      </c>
      <c r="O34" s="17">
        <v>470</v>
      </c>
      <c r="P34" s="17">
        <v>450</v>
      </c>
      <c r="Q34" s="17">
        <v>440</v>
      </c>
      <c r="R34" s="17">
        <v>430</v>
      </c>
    </row>
    <row r="35" spans="1:18" ht="15">
      <c r="A35" s="87">
        <v>26</v>
      </c>
      <c r="B35" s="87">
        <v>480</v>
      </c>
      <c r="C35" s="87">
        <v>520</v>
      </c>
      <c r="D35" s="87">
        <v>50</v>
      </c>
      <c r="F35" s="121">
        <v>27</v>
      </c>
      <c r="G35" s="17">
        <v>590</v>
      </c>
      <c r="H35" s="17">
        <v>570</v>
      </c>
      <c r="I35" s="17">
        <v>560</v>
      </c>
      <c r="J35" s="17">
        <v>540</v>
      </c>
      <c r="K35" s="17">
        <v>520</v>
      </c>
      <c r="L35" s="17">
        <v>500</v>
      </c>
      <c r="M35" s="17">
        <v>490</v>
      </c>
      <c r="N35" s="17">
        <v>470</v>
      </c>
      <c r="O35" s="17">
        <v>460</v>
      </c>
      <c r="P35" s="17">
        <v>440</v>
      </c>
      <c r="Q35" s="17">
        <v>430</v>
      </c>
      <c r="R35" s="17">
        <v>420</v>
      </c>
    </row>
    <row r="36" spans="1:18" ht="15">
      <c r="A36" s="87">
        <v>27</v>
      </c>
      <c r="B36" s="87">
        <v>480</v>
      </c>
      <c r="C36" s="87">
        <v>530</v>
      </c>
      <c r="D36" s="87">
        <v>51</v>
      </c>
      <c r="F36" s="121">
        <v>26</v>
      </c>
      <c r="G36" s="17">
        <v>580</v>
      </c>
      <c r="H36" s="17">
        <v>570</v>
      </c>
      <c r="I36" s="17">
        <v>550</v>
      </c>
      <c r="J36" s="17">
        <v>530</v>
      </c>
      <c r="K36" s="17">
        <v>510</v>
      </c>
      <c r="L36" s="17">
        <v>490</v>
      </c>
      <c r="M36" s="17">
        <v>480</v>
      </c>
      <c r="N36" s="17">
        <v>460</v>
      </c>
      <c r="O36" s="17">
        <v>450</v>
      </c>
      <c r="P36" s="17">
        <v>440</v>
      </c>
      <c r="Q36" s="17">
        <v>420</v>
      </c>
      <c r="R36" s="17">
        <v>410</v>
      </c>
    </row>
    <row r="37" spans="1:18" ht="15">
      <c r="A37" s="87">
        <v>28</v>
      </c>
      <c r="B37" s="87">
        <v>490</v>
      </c>
      <c r="C37" s="87">
        <v>530</v>
      </c>
      <c r="D37" s="87">
        <v>52</v>
      </c>
      <c r="F37" s="121">
        <v>25</v>
      </c>
      <c r="G37" s="17">
        <v>570</v>
      </c>
      <c r="H37" s="17">
        <v>560</v>
      </c>
      <c r="I37" s="17">
        <v>540</v>
      </c>
      <c r="J37" s="17">
        <v>530</v>
      </c>
      <c r="K37" s="17">
        <v>500</v>
      </c>
      <c r="L37" s="17">
        <v>490</v>
      </c>
      <c r="M37" s="17">
        <v>470</v>
      </c>
      <c r="N37" s="17">
        <v>450</v>
      </c>
      <c r="O37" s="17">
        <v>440</v>
      </c>
      <c r="P37" s="17">
        <v>430</v>
      </c>
      <c r="Q37" s="17">
        <v>410</v>
      </c>
      <c r="R37" s="17">
        <v>400</v>
      </c>
    </row>
    <row r="38" spans="1:18" ht="15">
      <c r="A38" s="87">
        <v>29</v>
      </c>
      <c r="B38" s="87">
        <v>500</v>
      </c>
      <c r="C38" s="87">
        <v>540</v>
      </c>
      <c r="D38" s="87">
        <v>53</v>
      </c>
      <c r="F38" s="121">
        <v>24</v>
      </c>
      <c r="G38" s="17">
        <v>560</v>
      </c>
      <c r="H38" s="17">
        <v>550</v>
      </c>
      <c r="I38" s="17">
        <v>530</v>
      </c>
      <c r="J38" s="17">
        <v>520</v>
      </c>
      <c r="K38" s="17">
        <v>500</v>
      </c>
      <c r="L38" s="17">
        <v>480</v>
      </c>
      <c r="M38" s="17">
        <v>460</v>
      </c>
      <c r="N38" s="17">
        <v>450</v>
      </c>
      <c r="O38" s="17">
        <v>430</v>
      </c>
      <c r="P38" s="17">
        <v>420</v>
      </c>
      <c r="Q38" s="17">
        <v>400</v>
      </c>
      <c r="R38" s="17">
        <v>390</v>
      </c>
    </row>
    <row r="39" spans="1:18" ht="15">
      <c r="A39" s="87">
        <v>30</v>
      </c>
      <c r="B39" s="87">
        <v>500</v>
      </c>
      <c r="C39" s="87">
        <v>550</v>
      </c>
      <c r="D39" s="87">
        <v>54</v>
      </c>
      <c r="F39" s="121">
        <v>23</v>
      </c>
      <c r="G39" s="17">
        <v>560</v>
      </c>
      <c r="H39" s="17">
        <v>540</v>
      </c>
      <c r="I39" s="17">
        <v>520</v>
      </c>
      <c r="J39" s="17">
        <v>510</v>
      </c>
      <c r="K39" s="17">
        <v>490</v>
      </c>
      <c r="L39" s="17">
        <v>470</v>
      </c>
      <c r="M39" s="17">
        <v>450</v>
      </c>
      <c r="N39" s="17">
        <v>440</v>
      </c>
      <c r="O39" s="17">
        <v>430</v>
      </c>
      <c r="P39" s="17">
        <v>410</v>
      </c>
      <c r="Q39" s="17">
        <v>390</v>
      </c>
      <c r="R39" s="17">
        <v>380</v>
      </c>
    </row>
    <row r="40" spans="1:18" ht="15">
      <c r="A40" s="87">
        <v>31</v>
      </c>
      <c r="B40" s="87">
        <v>510</v>
      </c>
      <c r="C40" s="87">
        <v>560</v>
      </c>
      <c r="D40" s="87">
        <v>54</v>
      </c>
      <c r="F40" s="121">
        <v>22</v>
      </c>
      <c r="G40" s="17">
        <v>550</v>
      </c>
      <c r="H40" s="17">
        <v>530</v>
      </c>
      <c r="I40" s="17">
        <v>520</v>
      </c>
      <c r="J40" s="17">
        <v>500</v>
      </c>
      <c r="K40" s="17">
        <v>480</v>
      </c>
      <c r="L40" s="17">
        <v>460</v>
      </c>
      <c r="M40" s="17">
        <v>450</v>
      </c>
      <c r="N40" s="17">
        <v>430</v>
      </c>
      <c r="O40" s="17">
        <v>420</v>
      </c>
      <c r="P40" s="17">
        <v>400</v>
      </c>
      <c r="Q40" s="17">
        <v>390</v>
      </c>
      <c r="R40" s="17">
        <v>380</v>
      </c>
    </row>
    <row r="41" spans="1:18" ht="15">
      <c r="A41" s="87">
        <v>32</v>
      </c>
      <c r="B41" s="87">
        <v>510</v>
      </c>
      <c r="C41" s="87">
        <v>570</v>
      </c>
      <c r="D41" s="87">
        <v>55</v>
      </c>
      <c r="F41" s="121">
        <v>21</v>
      </c>
      <c r="G41" s="17">
        <v>540</v>
      </c>
      <c r="H41" s="17">
        <v>520</v>
      </c>
      <c r="I41" s="17">
        <v>510</v>
      </c>
      <c r="J41" s="17">
        <v>490</v>
      </c>
      <c r="K41" s="17">
        <v>470</v>
      </c>
      <c r="L41" s="17">
        <v>450</v>
      </c>
      <c r="M41" s="17">
        <v>440</v>
      </c>
      <c r="N41" s="17">
        <v>420</v>
      </c>
      <c r="O41" s="17">
        <v>410</v>
      </c>
      <c r="P41" s="17">
        <v>390</v>
      </c>
      <c r="Q41" s="17">
        <v>380</v>
      </c>
      <c r="R41" s="17">
        <v>370</v>
      </c>
    </row>
    <row r="42" spans="1:18" ht="15">
      <c r="A42" s="87">
        <v>33</v>
      </c>
      <c r="B42" s="87">
        <v>520</v>
      </c>
      <c r="C42" s="87">
        <v>580</v>
      </c>
      <c r="D42" s="87">
        <v>56</v>
      </c>
      <c r="F42" s="121">
        <v>20</v>
      </c>
      <c r="G42" s="17">
        <v>530</v>
      </c>
      <c r="H42" s="17">
        <v>520</v>
      </c>
      <c r="I42" s="17">
        <v>500</v>
      </c>
      <c r="J42" s="17">
        <v>480</v>
      </c>
      <c r="K42" s="17">
        <v>460</v>
      </c>
      <c r="L42" s="17">
        <v>440</v>
      </c>
      <c r="M42" s="17">
        <v>430</v>
      </c>
      <c r="N42" s="17">
        <v>410</v>
      </c>
      <c r="O42" s="17">
        <v>400</v>
      </c>
      <c r="P42" s="17">
        <v>390</v>
      </c>
      <c r="Q42" s="17">
        <v>370</v>
      </c>
      <c r="R42" s="17">
        <v>360</v>
      </c>
    </row>
    <row r="43" spans="1:18" ht="15">
      <c r="A43" s="87">
        <v>34</v>
      </c>
      <c r="B43" s="87">
        <v>530</v>
      </c>
      <c r="C43" s="87">
        <v>590</v>
      </c>
      <c r="D43" s="87">
        <v>57</v>
      </c>
      <c r="F43" s="121">
        <v>19</v>
      </c>
      <c r="G43" s="17">
        <v>520</v>
      </c>
      <c r="H43" s="17">
        <v>510</v>
      </c>
      <c r="I43" s="17">
        <v>490</v>
      </c>
      <c r="J43" s="17">
        <v>480</v>
      </c>
      <c r="K43" s="17">
        <v>460</v>
      </c>
      <c r="L43" s="17">
        <v>440</v>
      </c>
      <c r="M43" s="17">
        <v>420</v>
      </c>
      <c r="N43" s="17">
        <v>410</v>
      </c>
      <c r="O43" s="17">
        <v>390</v>
      </c>
      <c r="P43" s="17">
        <v>380</v>
      </c>
      <c r="Q43" s="17">
        <v>360</v>
      </c>
      <c r="R43" s="17">
        <v>350</v>
      </c>
    </row>
    <row r="44" spans="1:18" ht="15">
      <c r="A44" s="87">
        <v>35</v>
      </c>
      <c r="B44" s="87">
        <v>530</v>
      </c>
      <c r="C44" s="87">
        <v>600</v>
      </c>
      <c r="D44" s="87">
        <v>58</v>
      </c>
      <c r="F44" s="121">
        <v>18</v>
      </c>
      <c r="G44" s="17">
        <v>520</v>
      </c>
      <c r="H44" s="17">
        <v>500</v>
      </c>
      <c r="I44" s="17">
        <v>480</v>
      </c>
      <c r="J44" s="17">
        <v>470</v>
      </c>
      <c r="K44" s="17">
        <v>450</v>
      </c>
      <c r="L44" s="17">
        <v>430</v>
      </c>
      <c r="M44" s="17">
        <v>410</v>
      </c>
      <c r="N44" s="17">
        <v>400</v>
      </c>
      <c r="O44" s="17">
        <v>390</v>
      </c>
      <c r="P44" s="17">
        <v>370</v>
      </c>
      <c r="Q44" s="17">
        <v>350</v>
      </c>
      <c r="R44" s="17">
        <v>340</v>
      </c>
    </row>
    <row r="45" spans="1:18" ht="15">
      <c r="A45" s="87">
        <v>36</v>
      </c>
      <c r="B45" s="87">
        <v>540</v>
      </c>
      <c r="C45" s="87">
        <v>610</v>
      </c>
      <c r="D45" s="87">
        <v>59</v>
      </c>
      <c r="F45" s="121">
        <v>17</v>
      </c>
      <c r="G45" s="17">
        <v>510</v>
      </c>
      <c r="H45" s="17">
        <v>490</v>
      </c>
      <c r="I45" s="17">
        <v>480</v>
      </c>
      <c r="J45" s="17">
        <v>460</v>
      </c>
      <c r="K45" s="17">
        <v>440</v>
      </c>
      <c r="L45" s="17">
        <v>420</v>
      </c>
      <c r="M45" s="17">
        <v>410</v>
      </c>
      <c r="N45" s="17">
        <v>390</v>
      </c>
      <c r="O45" s="17">
        <v>380</v>
      </c>
      <c r="P45" s="17">
        <v>360</v>
      </c>
      <c r="Q45" s="17">
        <v>350</v>
      </c>
      <c r="R45" s="17">
        <v>340</v>
      </c>
    </row>
    <row r="46" spans="1:18" ht="15">
      <c r="A46" s="87">
        <v>37</v>
      </c>
      <c r="B46" s="87">
        <v>540</v>
      </c>
      <c r="C46" s="87">
        <v>620</v>
      </c>
      <c r="D46" s="87">
        <v>60</v>
      </c>
      <c r="F46" s="121">
        <v>16</v>
      </c>
      <c r="G46" s="17">
        <v>500</v>
      </c>
      <c r="H46" s="17">
        <v>490</v>
      </c>
      <c r="I46" s="17">
        <v>470</v>
      </c>
      <c r="J46" s="17">
        <v>450</v>
      </c>
      <c r="K46" s="17">
        <v>430</v>
      </c>
      <c r="L46" s="17">
        <v>410</v>
      </c>
      <c r="M46" s="17">
        <v>400</v>
      </c>
      <c r="N46" s="17">
        <v>380</v>
      </c>
      <c r="O46" s="17">
        <v>370</v>
      </c>
      <c r="P46" s="17">
        <v>360</v>
      </c>
      <c r="Q46" s="17">
        <v>340</v>
      </c>
      <c r="R46" s="17">
        <v>330</v>
      </c>
    </row>
    <row r="47" spans="1:18" ht="15">
      <c r="A47" s="87">
        <v>38</v>
      </c>
      <c r="B47" s="87">
        <v>550</v>
      </c>
      <c r="C47" s="87">
        <v>620</v>
      </c>
      <c r="D47" s="87">
        <v>61</v>
      </c>
      <c r="F47" s="121">
        <v>15</v>
      </c>
      <c r="G47" s="17">
        <v>490</v>
      </c>
      <c r="H47" s="17">
        <v>480</v>
      </c>
      <c r="I47" s="17">
        <v>460</v>
      </c>
      <c r="J47" s="17">
        <v>450</v>
      </c>
      <c r="K47" s="17">
        <v>430</v>
      </c>
      <c r="L47" s="17">
        <v>410</v>
      </c>
      <c r="M47" s="17">
        <v>390</v>
      </c>
      <c r="N47" s="17">
        <v>370</v>
      </c>
      <c r="O47" s="17">
        <v>360</v>
      </c>
      <c r="P47" s="17">
        <v>350</v>
      </c>
      <c r="Q47" s="17">
        <v>330</v>
      </c>
      <c r="R47" s="17">
        <v>320</v>
      </c>
    </row>
    <row r="48" spans="1:18" ht="15">
      <c r="A48" s="87">
        <v>39</v>
      </c>
      <c r="B48" s="87">
        <v>560</v>
      </c>
      <c r="C48" s="87">
        <v>630</v>
      </c>
      <c r="D48" s="87">
        <v>62</v>
      </c>
      <c r="F48" s="121">
        <v>14</v>
      </c>
      <c r="G48" s="17">
        <v>490</v>
      </c>
      <c r="H48" s="17">
        <v>470</v>
      </c>
      <c r="I48" s="17">
        <v>450</v>
      </c>
      <c r="J48" s="17">
        <v>440</v>
      </c>
      <c r="K48" s="17">
        <v>420</v>
      </c>
      <c r="L48" s="17">
        <v>400</v>
      </c>
      <c r="M48" s="17">
        <v>380</v>
      </c>
      <c r="N48" s="17">
        <v>370</v>
      </c>
      <c r="O48" s="17">
        <v>360</v>
      </c>
      <c r="P48" s="17">
        <v>340</v>
      </c>
      <c r="Q48" s="17">
        <v>320</v>
      </c>
      <c r="R48" s="17">
        <v>310</v>
      </c>
    </row>
    <row r="49" spans="1:18" ht="15">
      <c r="A49" s="87">
        <v>40</v>
      </c>
      <c r="B49" s="87">
        <v>560</v>
      </c>
      <c r="C49" s="87">
        <v>640</v>
      </c>
      <c r="D49" s="87">
        <v>64</v>
      </c>
      <c r="F49" s="121">
        <v>13</v>
      </c>
      <c r="G49" s="17">
        <v>480</v>
      </c>
      <c r="H49" s="17">
        <v>460</v>
      </c>
      <c r="I49" s="17">
        <v>450</v>
      </c>
      <c r="J49" s="17">
        <v>430</v>
      </c>
      <c r="K49" s="17">
        <v>410</v>
      </c>
      <c r="L49" s="17">
        <v>390</v>
      </c>
      <c r="M49" s="17">
        <v>380</v>
      </c>
      <c r="N49" s="17">
        <v>360</v>
      </c>
      <c r="O49" s="17">
        <v>350</v>
      </c>
      <c r="P49" s="17">
        <v>330</v>
      </c>
      <c r="Q49" s="17">
        <v>320</v>
      </c>
      <c r="R49" s="17">
        <v>310</v>
      </c>
    </row>
    <row r="50" spans="1:18" ht="15">
      <c r="A50" s="87">
        <v>41</v>
      </c>
      <c r="B50" s="87">
        <v>570</v>
      </c>
      <c r="C50" s="87">
        <v>650</v>
      </c>
      <c r="D50" s="87">
        <v>65</v>
      </c>
      <c r="F50" s="121">
        <v>12</v>
      </c>
      <c r="G50" s="17">
        <v>470</v>
      </c>
      <c r="H50" s="17">
        <v>460</v>
      </c>
      <c r="I50" s="17">
        <v>440</v>
      </c>
      <c r="J50" s="17">
        <v>420</v>
      </c>
      <c r="K50" s="17">
        <v>400</v>
      </c>
      <c r="L50" s="17">
        <v>380</v>
      </c>
      <c r="M50" s="17">
        <v>370</v>
      </c>
      <c r="N50" s="17">
        <v>350</v>
      </c>
      <c r="O50" s="17">
        <v>340</v>
      </c>
      <c r="P50" s="17">
        <v>330</v>
      </c>
      <c r="Q50" s="17">
        <v>310</v>
      </c>
      <c r="R50" s="17">
        <v>300</v>
      </c>
    </row>
    <row r="51" spans="1:18" ht="15">
      <c r="A51" s="87">
        <v>42</v>
      </c>
      <c r="B51" s="87">
        <v>580</v>
      </c>
      <c r="C51" s="87">
        <v>660</v>
      </c>
      <c r="D51" s="87">
        <v>66</v>
      </c>
      <c r="F51" s="121">
        <v>11</v>
      </c>
      <c r="G51" s="17">
        <v>460</v>
      </c>
      <c r="H51" s="17">
        <v>450</v>
      </c>
      <c r="I51" s="17">
        <v>430</v>
      </c>
      <c r="J51" s="17">
        <v>420</v>
      </c>
      <c r="K51" s="17">
        <v>400</v>
      </c>
      <c r="L51" s="17">
        <v>380</v>
      </c>
      <c r="M51" s="17">
        <v>360</v>
      </c>
      <c r="N51" s="17">
        <v>350</v>
      </c>
      <c r="O51" s="17">
        <v>330</v>
      </c>
      <c r="P51" s="17">
        <v>320</v>
      </c>
      <c r="Q51" s="17">
        <v>300</v>
      </c>
      <c r="R51" s="17">
        <v>290</v>
      </c>
    </row>
    <row r="52" spans="1:18" ht="15">
      <c r="A52" s="87">
        <v>43</v>
      </c>
      <c r="B52" s="87">
        <v>580</v>
      </c>
      <c r="C52" s="87">
        <v>670</v>
      </c>
      <c r="D52" s="87">
        <v>67</v>
      </c>
      <c r="F52" s="121">
        <v>10</v>
      </c>
      <c r="G52" s="17">
        <v>460</v>
      </c>
      <c r="H52" s="17">
        <v>440</v>
      </c>
      <c r="I52" s="17">
        <v>420</v>
      </c>
      <c r="J52" s="17">
        <v>410</v>
      </c>
      <c r="K52" s="17">
        <v>390</v>
      </c>
      <c r="L52" s="17">
        <v>370</v>
      </c>
      <c r="M52" s="17">
        <v>350</v>
      </c>
      <c r="N52" s="17">
        <v>340</v>
      </c>
      <c r="O52" s="17">
        <v>330</v>
      </c>
      <c r="P52" s="17">
        <v>310</v>
      </c>
      <c r="Q52" s="17">
        <v>290</v>
      </c>
      <c r="R52" s="17">
        <v>280</v>
      </c>
    </row>
    <row r="53" spans="1:18" ht="15">
      <c r="A53" s="87">
        <v>44</v>
      </c>
      <c r="B53" s="87">
        <v>590</v>
      </c>
      <c r="C53" s="87">
        <v>680</v>
      </c>
      <c r="D53" s="87">
        <v>69</v>
      </c>
      <c r="F53" s="121">
        <v>9</v>
      </c>
      <c r="G53" s="17">
        <v>450</v>
      </c>
      <c r="H53" s="17">
        <v>430</v>
      </c>
      <c r="I53" s="17">
        <v>420</v>
      </c>
      <c r="J53" s="17">
        <v>400</v>
      </c>
      <c r="K53" s="17">
        <v>380</v>
      </c>
      <c r="L53" s="17">
        <v>360</v>
      </c>
      <c r="M53" s="17">
        <v>350</v>
      </c>
      <c r="N53" s="17">
        <v>330</v>
      </c>
      <c r="O53" s="17">
        <v>320</v>
      </c>
      <c r="P53" s="17">
        <v>300</v>
      </c>
      <c r="Q53" s="17">
        <v>290</v>
      </c>
      <c r="R53" s="17">
        <v>280</v>
      </c>
    </row>
    <row r="54" spans="1:18" ht="15">
      <c r="A54" s="87">
        <v>45</v>
      </c>
      <c r="B54" s="87">
        <v>590</v>
      </c>
      <c r="C54" s="87">
        <v>690</v>
      </c>
      <c r="D54" s="87">
        <v>71</v>
      </c>
      <c r="F54" s="121">
        <v>8</v>
      </c>
      <c r="G54" s="17">
        <v>440</v>
      </c>
      <c r="H54" s="17">
        <v>430</v>
      </c>
      <c r="I54" s="17">
        <v>410</v>
      </c>
      <c r="J54" s="17">
        <v>390</v>
      </c>
      <c r="K54" s="17">
        <v>370</v>
      </c>
      <c r="L54" s="17">
        <v>350</v>
      </c>
      <c r="M54" s="17">
        <v>340</v>
      </c>
      <c r="N54" s="17">
        <v>320</v>
      </c>
      <c r="O54" s="17">
        <v>310</v>
      </c>
      <c r="P54" s="17">
        <v>300</v>
      </c>
      <c r="Q54" s="17">
        <v>280</v>
      </c>
      <c r="R54" s="17">
        <v>270</v>
      </c>
    </row>
    <row r="55" spans="1:18" ht="15">
      <c r="A55" s="87">
        <v>46</v>
      </c>
      <c r="B55" s="87">
        <v>600</v>
      </c>
      <c r="C55" s="87">
        <v>700</v>
      </c>
      <c r="D55" s="87">
        <v>73</v>
      </c>
      <c r="F55" s="121">
        <v>7</v>
      </c>
      <c r="G55" s="17">
        <v>430</v>
      </c>
      <c r="H55" s="17">
        <v>420</v>
      </c>
      <c r="I55" s="17">
        <v>400</v>
      </c>
      <c r="J55" s="17">
        <v>390</v>
      </c>
      <c r="K55" s="17">
        <v>360</v>
      </c>
      <c r="L55" s="17">
        <v>350</v>
      </c>
      <c r="M55" s="17">
        <v>330</v>
      </c>
      <c r="N55" s="17">
        <v>310</v>
      </c>
      <c r="O55" s="17">
        <v>300</v>
      </c>
      <c r="P55" s="17">
        <v>290</v>
      </c>
      <c r="Q55" s="17">
        <v>270</v>
      </c>
      <c r="R55" s="17">
        <v>260</v>
      </c>
    </row>
    <row r="56" spans="1:18" ht="15">
      <c r="A56" s="87">
        <v>47</v>
      </c>
      <c r="B56" s="87">
        <v>610</v>
      </c>
      <c r="C56" s="87">
        <v>710</v>
      </c>
      <c r="D56" s="87">
        <v>75</v>
      </c>
      <c r="F56" s="121">
        <v>6</v>
      </c>
      <c r="G56" s="17">
        <v>420</v>
      </c>
      <c r="H56" s="17">
        <v>410</v>
      </c>
      <c r="I56" s="17">
        <v>390</v>
      </c>
      <c r="J56" s="17">
        <v>380</v>
      </c>
      <c r="K56" s="17">
        <v>360</v>
      </c>
      <c r="L56" s="17">
        <v>340</v>
      </c>
      <c r="M56" s="17">
        <v>320</v>
      </c>
      <c r="N56" s="17">
        <v>310</v>
      </c>
      <c r="O56" s="17">
        <v>290</v>
      </c>
      <c r="P56" s="17">
        <v>280</v>
      </c>
      <c r="Q56" s="17">
        <v>260</v>
      </c>
      <c r="R56" s="17">
        <v>250</v>
      </c>
    </row>
    <row r="57" spans="1:18" ht="15">
      <c r="A57" s="87">
        <v>48</v>
      </c>
      <c r="B57" s="87">
        <v>610</v>
      </c>
      <c r="C57" s="87">
        <v>720</v>
      </c>
      <c r="D57" s="87">
        <v>78</v>
      </c>
      <c r="F57" s="121">
        <v>5</v>
      </c>
      <c r="G57" s="17">
        <v>410</v>
      </c>
      <c r="H57" s="17">
        <v>400</v>
      </c>
      <c r="I57" s="17">
        <v>380</v>
      </c>
      <c r="J57" s="17">
        <v>370</v>
      </c>
      <c r="K57" s="17">
        <v>350</v>
      </c>
      <c r="L57" s="17">
        <v>330</v>
      </c>
      <c r="M57" s="17">
        <v>310</v>
      </c>
      <c r="N57" s="17">
        <v>300</v>
      </c>
      <c r="O57" s="17">
        <v>280</v>
      </c>
      <c r="P57" s="17">
        <v>270</v>
      </c>
      <c r="Q57" s="17">
        <v>250</v>
      </c>
      <c r="R57" s="17">
        <v>240</v>
      </c>
    </row>
    <row r="58" spans="1:18" ht="15">
      <c r="A58" s="87">
        <v>49</v>
      </c>
      <c r="B58" s="87">
        <v>620</v>
      </c>
      <c r="C58" s="87">
        <v>730</v>
      </c>
      <c r="D58" s="87">
        <v>80</v>
      </c>
      <c r="F58" s="121">
        <v>4</v>
      </c>
      <c r="G58" s="17">
        <v>400</v>
      </c>
      <c r="H58" s="17">
        <v>390</v>
      </c>
      <c r="I58" s="17">
        <v>370</v>
      </c>
      <c r="J58" s="17">
        <v>360</v>
      </c>
      <c r="K58" s="17">
        <v>340</v>
      </c>
      <c r="L58" s="17">
        <v>320</v>
      </c>
      <c r="M58" s="17">
        <v>300</v>
      </c>
      <c r="N58" s="17">
        <v>290</v>
      </c>
      <c r="O58" s="17">
        <v>270</v>
      </c>
      <c r="P58" s="17">
        <v>260</v>
      </c>
      <c r="Q58" s="17">
        <v>240</v>
      </c>
      <c r="R58" s="17">
        <v>230</v>
      </c>
    </row>
    <row r="59" spans="1:18" ht="15">
      <c r="A59" s="87">
        <v>50</v>
      </c>
      <c r="B59" s="87">
        <v>630</v>
      </c>
      <c r="C59" s="87">
        <v>740</v>
      </c>
      <c r="D59" s="87"/>
      <c r="F59" s="121">
        <v>3</v>
      </c>
      <c r="G59" s="17">
        <v>390</v>
      </c>
      <c r="H59" s="17">
        <v>380</v>
      </c>
      <c r="I59" s="17">
        <v>360</v>
      </c>
      <c r="J59" s="17">
        <v>350</v>
      </c>
      <c r="K59" s="17">
        <v>330</v>
      </c>
      <c r="L59" s="17">
        <v>310</v>
      </c>
      <c r="M59" s="17">
        <v>290</v>
      </c>
      <c r="N59" s="17">
        <v>280</v>
      </c>
      <c r="O59" s="17">
        <v>260</v>
      </c>
      <c r="P59" s="17">
        <v>250</v>
      </c>
      <c r="Q59" s="17">
        <v>230</v>
      </c>
      <c r="R59" s="17">
        <v>220</v>
      </c>
    </row>
    <row r="60" spans="1:18" ht="15">
      <c r="A60" s="87">
        <v>51</v>
      </c>
      <c r="B60" s="87">
        <v>640</v>
      </c>
      <c r="C60" s="87">
        <v>760</v>
      </c>
      <c r="D60" s="87"/>
      <c r="F60" s="121">
        <v>2</v>
      </c>
      <c r="G60" s="17">
        <v>380</v>
      </c>
      <c r="H60" s="17">
        <v>370</v>
      </c>
      <c r="I60" s="17">
        <v>350</v>
      </c>
      <c r="J60" s="17">
        <v>330</v>
      </c>
      <c r="K60" s="17">
        <v>310</v>
      </c>
      <c r="L60" s="17">
        <v>290</v>
      </c>
      <c r="M60" s="17">
        <v>280</v>
      </c>
      <c r="N60" s="17">
        <v>260</v>
      </c>
      <c r="O60" s="17">
        <v>250</v>
      </c>
      <c r="P60" s="17">
        <v>240</v>
      </c>
      <c r="Q60" s="17">
        <v>220</v>
      </c>
      <c r="R60" s="17">
        <v>210</v>
      </c>
    </row>
    <row r="61" spans="1:18" ht="15">
      <c r="A61" s="87">
        <v>52</v>
      </c>
      <c r="B61" s="87">
        <v>640</v>
      </c>
      <c r="C61" s="87">
        <v>780</v>
      </c>
      <c r="D61" s="87"/>
      <c r="F61" s="121">
        <v>1</v>
      </c>
      <c r="G61" s="17">
        <v>370</v>
      </c>
      <c r="H61" s="17">
        <v>350</v>
      </c>
      <c r="I61" s="17">
        <v>340</v>
      </c>
      <c r="J61" s="17">
        <v>320</v>
      </c>
      <c r="K61" s="17">
        <v>300</v>
      </c>
      <c r="L61" s="17">
        <v>280</v>
      </c>
      <c r="M61" s="17">
        <v>260</v>
      </c>
      <c r="N61" s="17">
        <v>250</v>
      </c>
      <c r="O61" s="17">
        <v>240</v>
      </c>
      <c r="P61" s="17">
        <v>220</v>
      </c>
      <c r="Q61" s="17">
        <v>210</v>
      </c>
      <c r="R61" s="17">
        <v>200</v>
      </c>
    </row>
    <row r="62" spans="1:18" ht="15">
      <c r="A62" s="87">
        <v>53</v>
      </c>
      <c r="B62" s="87">
        <v>650</v>
      </c>
      <c r="C62" s="87">
        <v>800</v>
      </c>
      <c r="D62" s="87"/>
      <c r="F62" s="121">
        <v>0</v>
      </c>
      <c r="G62" s="17">
        <v>350</v>
      </c>
      <c r="H62" s="17">
        <v>340</v>
      </c>
      <c r="I62" s="17">
        <v>320</v>
      </c>
      <c r="J62" s="17">
        <v>300</v>
      </c>
      <c r="K62" s="17">
        <v>280</v>
      </c>
      <c r="L62" s="17">
        <v>260</v>
      </c>
      <c r="M62" s="17">
        <v>250</v>
      </c>
      <c r="N62" s="17">
        <v>230</v>
      </c>
      <c r="O62" s="17">
        <v>220</v>
      </c>
      <c r="P62" s="17">
        <v>210</v>
      </c>
      <c r="Q62" s="17">
        <v>200</v>
      </c>
      <c r="R62" s="17">
        <v>200</v>
      </c>
    </row>
    <row r="63" spans="1:18" ht="15">
      <c r="A63" s="87">
        <v>54</v>
      </c>
      <c r="B63" s="87">
        <v>660</v>
      </c>
      <c r="C63" s="87">
        <v>800</v>
      </c>
      <c r="D63" s="87"/>
      <c r="F63" s="121">
        <v>-1</v>
      </c>
      <c r="G63" s="17">
        <v>330</v>
      </c>
      <c r="H63" s="17">
        <v>320</v>
      </c>
      <c r="I63" s="17">
        <v>300</v>
      </c>
      <c r="J63" s="17">
        <v>290</v>
      </c>
      <c r="K63" s="17">
        <v>270</v>
      </c>
      <c r="L63" s="17">
        <v>250</v>
      </c>
      <c r="M63" s="17">
        <v>230</v>
      </c>
      <c r="N63" s="17">
        <v>220</v>
      </c>
      <c r="O63" s="17">
        <v>200</v>
      </c>
      <c r="P63" s="17">
        <v>200</v>
      </c>
      <c r="Q63" s="17">
        <v>200</v>
      </c>
      <c r="R63" s="17">
        <v>200</v>
      </c>
    </row>
    <row r="64" spans="1:18" ht="15">
      <c r="A64" s="87">
        <v>55</v>
      </c>
      <c r="B64" s="87">
        <v>670</v>
      </c>
      <c r="C64" s="87"/>
      <c r="D64" s="87"/>
      <c r="F64" s="121">
        <v>-2</v>
      </c>
      <c r="G64" s="17">
        <v>310</v>
      </c>
      <c r="H64" s="17">
        <v>300</v>
      </c>
      <c r="I64" s="17">
        <v>280</v>
      </c>
      <c r="J64" s="17">
        <v>270</v>
      </c>
      <c r="K64" s="17">
        <v>250</v>
      </c>
      <c r="L64" s="17">
        <v>230</v>
      </c>
      <c r="M64" s="17">
        <v>210</v>
      </c>
      <c r="N64" s="17">
        <v>200</v>
      </c>
      <c r="O64" s="17">
        <v>200</v>
      </c>
      <c r="P64" s="17">
        <v>200</v>
      </c>
      <c r="Q64" s="17">
        <v>200</v>
      </c>
      <c r="R64" s="17">
        <v>200</v>
      </c>
    </row>
    <row r="65" spans="1:18" ht="15">
      <c r="A65" s="87">
        <v>56</v>
      </c>
      <c r="B65" s="87">
        <v>680</v>
      </c>
      <c r="C65" s="87"/>
      <c r="D65" s="87"/>
      <c r="F65" s="121">
        <v>-3</v>
      </c>
      <c r="G65" s="17">
        <v>310</v>
      </c>
      <c r="H65" s="17">
        <v>290</v>
      </c>
      <c r="I65" s="17">
        <v>280</v>
      </c>
      <c r="J65" s="17">
        <v>260</v>
      </c>
      <c r="K65" s="17">
        <v>240</v>
      </c>
      <c r="L65" s="17">
        <v>220</v>
      </c>
      <c r="M65" s="17">
        <v>210</v>
      </c>
      <c r="N65" s="17">
        <v>200</v>
      </c>
      <c r="O65" s="17">
        <v>200</v>
      </c>
      <c r="P65" s="17">
        <v>200</v>
      </c>
      <c r="Q65" s="17">
        <v>200</v>
      </c>
      <c r="R65" s="17">
        <v>200</v>
      </c>
    </row>
    <row r="66" spans="1:18" ht="15">
      <c r="A66" s="87">
        <v>57</v>
      </c>
      <c r="B66" s="87">
        <v>690</v>
      </c>
      <c r="C66" s="87"/>
      <c r="D66" s="87"/>
      <c r="F66" s="122">
        <v>-4</v>
      </c>
      <c r="G66" s="17">
        <v>310</v>
      </c>
      <c r="H66" s="17">
        <v>290</v>
      </c>
      <c r="I66" s="17">
        <v>280</v>
      </c>
      <c r="J66" s="17">
        <v>260</v>
      </c>
      <c r="K66" s="17">
        <v>240</v>
      </c>
      <c r="L66" s="17">
        <v>220</v>
      </c>
      <c r="M66" s="17">
        <v>210</v>
      </c>
      <c r="N66" s="17">
        <v>200</v>
      </c>
      <c r="O66" s="17">
        <v>200</v>
      </c>
      <c r="P66" s="17">
        <v>200</v>
      </c>
      <c r="Q66" s="17">
        <v>200</v>
      </c>
      <c r="R66" s="17">
        <v>200</v>
      </c>
    </row>
    <row r="67" spans="1:18" ht="15">
      <c r="A67" s="87">
        <v>58</v>
      </c>
      <c r="B67" s="87">
        <v>700</v>
      </c>
      <c r="C67" s="87"/>
      <c r="D67" s="87"/>
      <c r="F67" s="122">
        <v>-5</v>
      </c>
      <c r="G67" s="17">
        <v>310</v>
      </c>
      <c r="H67" s="17">
        <v>290</v>
      </c>
      <c r="I67" s="17">
        <v>280</v>
      </c>
      <c r="J67" s="17">
        <v>260</v>
      </c>
      <c r="K67" s="17">
        <v>240</v>
      </c>
      <c r="L67" s="17">
        <v>220</v>
      </c>
      <c r="M67" s="17">
        <v>210</v>
      </c>
      <c r="N67" s="17">
        <v>200</v>
      </c>
      <c r="O67" s="17">
        <v>200</v>
      </c>
      <c r="P67" s="17">
        <v>200</v>
      </c>
      <c r="Q67" s="17">
        <v>200</v>
      </c>
      <c r="R67" s="17">
        <v>200</v>
      </c>
    </row>
    <row r="68" spans="1:18" ht="15">
      <c r="A68" s="87">
        <v>59</v>
      </c>
      <c r="B68" s="87">
        <v>710</v>
      </c>
      <c r="C68" s="87"/>
      <c r="D68" s="87"/>
      <c r="F68" s="122">
        <v>-6</v>
      </c>
      <c r="G68" s="17">
        <v>310</v>
      </c>
      <c r="H68" s="17">
        <v>290</v>
      </c>
      <c r="I68" s="17">
        <v>280</v>
      </c>
      <c r="J68" s="17">
        <v>260</v>
      </c>
      <c r="K68" s="17">
        <v>240</v>
      </c>
      <c r="L68" s="17">
        <v>220</v>
      </c>
      <c r="M68" s="17">
        <v>210</v>
      </c>
      <c r="N68" s="17">
        <v>200</v>
      </c>
      <c r="O68" s="17">
        <v>200</v>
      </c>
      <c r="P68" s="17">
        <v>200</v>
      </c>
      <c r="Q68" s="17">
        <v>200</v>
      </c>
      <c r="R68" s="17">
        <v>200</v>
      </c>
    </row>
    <row r="69" spans="1:18" ht="15">
      <c r="A69" s="87">
        <v>60</v>
      </c>
      <c r="B69" s="87">
        <v>720</v>
      </c>
      <c r="C69" s="87"/>
      <c r="D69" s="87"/>
      <c r="F69" s="122">
        <v>-7</v>
      </c>
      <c r="G69" s="17">
        <v>310</v>
      </c>
      <c r="H69" s="17">
        <v>290</v>
      </c>
      <c r="I69" s="17">
        <v>280</v>
      </c>
      <c r="J69" s="17">
        <v>260</v>
      </c>
      <c r="K69" s="17">
        <v>240</v>
      </c>
      <c r="L69" s="17">
        <v>220</v>
      </c>
      <c r="M69" s="17">
        <v>210</v>
      </c>
      <c r="N69" s="17">
        <v>200</v>
      </c>
      <c r="O69" s="17">
        <v>200</v>
      </c>
      <c r="P69" s="17">
        <v>200</v>
      </c>
      <c r="Q69" s="17">
        <v>200</v>
      </c>
      <c r="R69" s="17">
        <v>200</v>
      </c>
    </row>
    <row r="70" spans="1:18" ht="15">
      <c r="A70" s="87">
        <v>61</v>
      </c>
      <c r="B70" s="87">
        <v>730</v>
      </c>
      <c r="C70" s="87"/>
      <c r="D70" s="87"/>
      <c r="F70" s="122">
        <v>-8</v>
      </c>
      <c r="G70" s="17">
        <v>310</v>
      </c>
      <c r="H70" s="17">
        <v>290</v>
      </c>
      <c r="I70" s="17">
        <v>280</v>
      </c>
      <c r="J70" s="17">
        <v>260</v>
      </c>
      <c r="K70" s="17">
        <v>240</v>
      </c>
      <c r="L70" s="17">
        <v>220</v>
      </c>
      <c r="M70" s="17">
        <v>210</v>
      </c>
      <c r="N70" s="17">
        <v>200</v>
      </c>
      <c r="O70" s="17">
        <v>200</v>
      </c>
      <c r="P70" s="17">
        <v>200</v>
      </c>
      <c r="Q70" s="17">
        <v>200</v>
      </c>
      <c r="R70" s="17">
        <v>200</v>
      </c>
    </row>
    <row r="71" spans="1:18" ht="15">
      <c r="A71" s="87">
        <v>62</v>
      </c>
      <c r="B71" s="87">
        <v>750</v>
      </c>
      <c r="C71" s="87"/>
      <c r="D71" s="87"/>
      <c r="F71" s="122">
        <v>-9</v>
      </c>
      <c r="G71" s="17">
        <v>310</v>
      </c>
      <c r="H71" s="17">
        <v>290</v>
      </c>
      <c r="I71" s="17">
        <v>280</v>
      </c>
      <c r="J71" s="17">
        <v>260</v>
      </c>
      <c r="K71" s="17">
        <v>240</v>
      </c>
      <c r="L71" s="17">
        <v>220</v>
      </c>
      <c r="M71" s="17">
        <v>210</v>
      </c>
      <c r="N71" s="17">
        <v>200</v>
      </c>
      <c r="O71" s="17">
        <v>200</v>
      </c>
      <c r="P71" s="17">
        <v>200</v>
      </c>
      <c r="Q71" s="17">
        <v>200</v>
      </c>
      <c r="R71" s="17">
        <v>200</v>
      </c>
    </row>
    <row r="72" spans="1:18" ht="15">
      <c r="A72" s="87">
        <v>63</v>
      </c>
      <c r="B72" s="87">
        <v>760</v>
      </c>
      <c r="C72" s="87"/>
      <c r="D72" s="87"/>
      <c r="F72" s="122">
        <v>-10</v>
      </c>
      <c r="G72" s="17">
        <v>310</v>
      </c>
      <c r="H72" s="17">
        <v>290</v>
      </c>
      <c r="I72" s="17">
        <v>280</v>
      </c>
      <c r="J72" s="17">
        <v>260</v>
      </c>
      <c r="K72" s="17">
        <v>240</v>
      </c>
      <c r="L72" s="17">
        <v>220</v>
      </c>
      <c r="M72" s="17">
        <v>210</v>
      </c>
      <c r="N72" s="17">
        <v>200</v>
      </c>
      <c r="O72" s="17">
        <v>200</v>
      </c>
      <c r="P72" s="17">
        <v>200</v>
      </c>
      <c r="Q72" s="17">
        <v>200</v>
      </c>
      <c r="R72" s="17">
        <v>200</v>
      </c>
    </row>
    <row r="73" spans="1:18" ht="15">
      <c r="A73" s="87">
        <v>64</v>
      </c>
      <c r="B73" s="87">
        <v>780</v>
      </c>
      <c r="C73" s="87"/>
      <c r="D73" s="87"/>
      <c r="F73" s="122">
        <v>-11</v>
      </c>
      <c r="G73" s="17">
        <v>310</v>
      </c>
      <c r="H73" s="17">
        <v>290</v>
      </c>
      <c r="I73" s="17">
        <v>280</v>
      </c>
      <c r="J73" s="17">
        <v>260</v>
      </c>
      <c r="K73" s="17">
        <v>240</v>
      </c>
      <c r="L73" s="17">
        <v>220</v>
      </c>
      <c r="M73" s="17">
        <v>210</v>
      </c>
      <c r="N73" s="17">
        <v>200</v>
      </c>
      <c r="O73" s="17">
        <v>200</v>
      </c>
      <c r="P73" s="17">
        <v>200</v>
      </c>
      <c r="Q73" s="17">
        <v>200</v>
      </c>
      <c r="R73" s="17">
        <v>200</v>
      </c>
    </row>
    <row r="74" spans="1:18" ht="15">
      <c r="A74" s="87">
        <v>65</v>
      </c>
      <c r="B74" s="87">
        <v>800</v>
      </c>
      <c r="C74" s="87"/>
      <c r="D74" s="87"/>
      <c r="F74" s="122">
        <v>-12</v>
      </c>
      <c r="G74" s="17">
        <v>310</v>
      </c>
      <c r="H74" s="17">
        <v>290</v>
      </c>
      <c r="I74" s="17">
        <v>280</v>
      </c>
      <c r="J74" s="17">
        <v>260</v>
      </c>
      <c r="K74" s="17">
        <v>240</v>
      </c>
      <c r="L74" s="17">
        <v>220</v>
      </c>
      <c r="M74" s="17">
        <v>210</v>
      </c>
      <c r="N74" s="17">
        <v>200</v>
      </c>
      <c r="O74" s="17">
        <v>200</v>
      </c>
      <c r="P74" s="17">
        <v>200</v>
      </c>
      <c r="Q74" s="17">
        <v>200</v>
      </c>
      <c r="R74" s="17">
        <v>200</v>
      </c>
    </row>
    <row r="75" spans="1:18" ht="15">
      <c r="A75" s="87">
        <v>66</v>
      </c>
      <c r="B75" s="87">
        <v>800</v>
      </c>
      <c r="C75" s="87"/>
      <c r="D75" s="87"/>
    </row>
    <row r="76" spans="1:18" ht="15">
      <c r="A76" s="87">
        <v>67</v>
      </c>
      <c r="B76" s="87">
        <v>800</v>
      </c>
      <c r="C76" s="87"/>
      <c r="D76" s="87"/>
    </row>
    <row r="77" spans="1:18" ht="15">
      <c r="A77" s="90"/>
      <c r="B77" s="90"/>
      <c r="C77" s="90"/>
      <c r="D77" s="90"/>
    </row>
    <row r="78" spans="1:18" ht="15" thickBot="1">
      <c r="A78" s="200" t="s">
        <v>107</v>
      </c>
      <c r="B78" s="200"/>
      <c r="C78" s="200"/>
      <c r="D78" s="200"/>
      <c r="E78" s="200"/>
      <c r="G78" s="200" t="s">
        <v>43</v>
      </c>
      <c r="H78" s="200"/>
      <c r="I78" s="200"/>
      <c r="J78" s="200"/>
      <c r="K78" s="200"/>
      <c r="M78" s="200" t="s">
        <v>14</v>
      </c>
      <c r="N78" s="200"/>
      <c r="O78" s="200"/>
      <c r="P78" s="200"/>
      <c r="Q78" s="200"/>
    </row>
    <row r="79" spans="1:18" ht="56" thickBot="1">
      <c r="A79" s="12" t="s">
        <v>66</v>
      </c>
      <c r="B79" s="13" t="s">
        <v>108</v>
      </c>
      <c r="C79" s="13" t="s">
        <v>109</v>
      </c>
      <c r="D79" s="13" t="s">
        <v>110</v>
      </c>
      <c r="E79" s="13" t="s">
        <v>70</v>
      </c>
      <c r="F79" s="91"/>
      <c r="G79" s="12" t="s">
        <v>111</v>
      </c>
      <c r="H79" s="13" t="s">
        <v>112</v>
      </c>
      <c r="I79" s="201" t="s">
        <v>113</v>
      </c>
      <c r="J79" s="202"/>
      <c r="K79" s="13" t="s">
        <v>70</v>
      </c>
      <c r="L79" s="91"/>
      <c r="M79" s="203" t="s">
        <v>66</v>
      </c>
      <c r="N79" s="92" t="s">
        <v>114</v>
      </c>
      <c r="O79" s="92" t="s">
        <v>115</v>
      </c>
      <c r="P79" s="92" t="s">
        <v>116</v>
      </c>
      <c r="Q79" s="203" t="s">
        <v>70</v>
      </c>
    </row>
    <row r="80" spans="1:18" ht="51" thickBot="1">
      <c r="A80" s="93">
        <v>0</v>
      </c>
      <c r="B80" s="94">
        <v>4</v>
      </c>
      <c r="C80" s="94">
        <v>3</v>
      </c>
      <c r="D80" s="94">
        <v>3</v>
      </c>
      <c r="E80" s="86">
        <v>530</v>
      </c>
      <c r="F80" s="91"/>
      <c r="G80" s="15">
        <v>0</v>
      </c>
      <c r="H80" s="16" t="s">
        <v>117</v>
      </c>
      <c r="I80" s="16" t="s">
        <v>100</v>
      </c>
      <c r="J80" s="95">
        <v>0.54</v>
      </c>
      <c r="K80" s="16">
        <v>530</v>
      </c>
      <c r="L80" s="91"/>
      <c r="M80" s="204"/>
      <c r="N80" s="96" t="s">
        <v>118</v>
      </c>
      <c r="O80" s="97" t="s">
        <v>119</v>
      </c>
      <c r="P80" s="97" t="s">
        <v>120</v>
      </c>
      <c r="Q80" s="204"/>
    </row>
    <row r="81" spans="1:17" ht="41" thickBot="1">
      <c r="A81" s="93">
        <v>350</v>
      </c>
      <c r="B81" s="81">
        <v>4</v>
      </c>
      <c r="C81" s="81">
        <v>3</v>
      </c>
      <c r="D81" s="81">
        <v>3</v>
      </c>
      <c r="E81" s="86">
        <v>530</v>
      </c>
      <c r="F81" s="91"/>
      <c r="G81" s="15">
        <v>350</v>
      </c>
      <c r="H81" s="16" t="s">
        <v>117</v>
      </c>
      <c r="I81" s="16" t="s">
        <v>100</v>
      </c>
      <c r="J81" s="95">
        <v>0.54</v>
      </c>
      <c r="K81" s="16">
        <v>530</v>
      </c>
      <c r="L81" s="91"/>
      <c r="M81" s="205"/>
      <c r="N81" s="98"/>
      <c r="O81" s="99" t="s">
        <v>121</v>
      </c>
      <c r="P81" s="98"/>
      <c r="Q81" s="205"/>
    </row>
    <row r="82" spans="1:17" ht="34" thickBot="1">
      <c r="A82" s="93">
        <v>400</v>
      </c>
      <c r="B82" s="81">
        <v>5</v>
      </c>
      <c r="C82" s="81">
        <v>4</v>
      </c>
      <c r="D82" s="81">
        <v>3</v>
      </c>
      <c r="E82" s="86">
        <v>570</v>
      </c>
      <c r="F82" s="91"/>
      <c r="G82" s="15">
        <v>400</v>
      </c>
      <c r="H82" s="16" t="s">
        <v>122</v>
      </c>
      <c r="I82" s="16" t="s">
        <v>123</v>
      </c>
      <c r="J82" s="95">
        <v>0.63</v>
      </c>
      <c r="K82" s="16">
        <v>570</v>
      </c>
      <c r="L82" s="91"/>
      <c r="M82" s="93">
        <v>0</v>
      </c>
      <c r="N82" s="100">
        <v>7</v>
      </c>
      <c r="O82" s="81" t="s">
        <v>101</v>
      </c>
      <c r="P82" s="100">
        <v>8</v>
      </c>
      <c r="Q82" s="86">
        <v>530</v>
      </c>
    </row>
    <row r="83" spans="1:17" ht="34" thickBot="1">
      <c r="A83" s="93">
        <v>450</v>
      </c>
      <c r="B83" s="86">
        <v>6</v>
      </c>
      <c r="C83" s="86">
        <v>4</v>
      </c>
      <c r="D83" s="86">
        <v>4</v>
      </c>
      <c r="E83" s="86">
        <v>610</v>
      </c>
      <c r="F83" s="91"/>
      <c r="G83" s="15">
        <v>450</v>
      </c>
      <c r="H83" s="16" t="s">
        <v>124</v>
      </c>
      <c r="I83" s="16" t="s">
        <v>125</v>
      </c>
      <c r="J83" s="95">
        <v>0.72</v>
      </c>
      <c r="K83" s="16">
        <v>610</v>
      </c>
      <c r="L83" s="91"/>
      <c r="M83" s="93">
        <v>350</v>
      </c>
      <c r="N83" s="81">
        <v>7</v>
      </c>
      <c r="O83" s="81" t="s">
        <v>101</v>
      </c>
      <c r="P83" s="81">
        <v>8</v>
      </c>
      <c r="Q83" s="86">
        <v>530</v>
      </c>
    </row>
    <row r="84" spans="1:17" ht="34" thickBot="1">
      <c r="A84" s="93">
        <v>500</v>
      </c>
      <c r="B84" s="86">
        <v>6</v>
      </c>
      <c r="C84" s="86">
        <v>4</v>
      </c>
      <c r="D84" s="86">
        <v>4</v>
      </c>
      <c r="E84" s="86">
        <v>650</v>
      </c>
      <c r="F84" s="91"/>
      <c r="G84" s="15">
        <v>500</v>
      </c>
      <c r="H84" s="16" t="s">
        <v>126</v>
      </c>
      <c r="I84" s="16" t="s">
        <v>127</v>
      </c>
      <c r="J84" s="95">
        <v>0.79</v>
      </c>
      <c r="K84" s="16">
        <v>650</v>
      </c>
      <c r="L84" s="91"/>
      <c r="M84" s="93">
        <v>400</v>
      </c>
      <c r="N84" s="81">
        <v>7</v>
      </c>
      <c r="O84" s="81" t="s">
        <v>128</v>
      </c>
      <c r="P84" s="81">
        <v>10</v>
      </c>
      <c r="Q84" s="86">
        <v>570</v>
      </c>
    </row>
    <row r="85" spans="1:17" ht="34" thickBot="1">
      <c r="A85" s="93">
        <v>550</v>
      </c>
      <c r="B85" s="86">
        <v>7</v>
      </c>
      <c r="C85" s="86">
        <v>5</v>
      </c>
      <c r="D85" s="86">
        <v>4</v>
      </c>
      <c r="E85" s="86">
        <v>700</v>
      </c>
      <c r="F85" s="91"/>
      <c r="G85" s="15">
        <v>550</v>
      </c>
      <c r="H85" s="16" t="s">
        <v>129</v>
      </c>
      <c r="I85" s="16" t="s">
        <v>130</v>
      </c>
      <c r="J85" s="95">
        <v>0.87</v>
      </c>
      <c r="K85" s="16">
        <v>700</v>
      </c>
      <c r="L85" s="91"/>
      <c r="M85" s="93">
        <v>450</v>
      </c>
      <c r="N85" s="86">
        <v>8</v>
      </c>
      <c r="O85" s="86" t="s">
        <v>131</v>
      </c>
      <c r="P85" s="86">
        <v>11</v>
      </c>
      <c r="Q85" s="86">
        <v>610</v>
      </c>
    </row>
    <row r="86" spans="1:17" ht="45" thickBot="1">
      <c r="A86" s="93">
        <v>600</v>
      </c>
      <c r="B86" s="101" t="s">
        <v>132</v>
      </c>
      <c r="C86" s="101" t="s">
        <v>132</v>
      </c>
      <c r="D86" s="101" t="s">
        <v>132</v>
      </c>
      <c r="E86" s="86">
        <v>730</v>
      </c>
      <c r="F86" s="91"/>
      <c r="G86" s="15">
        <v>600</v>
      </c>
      <c r="H86" s="16" t="s">
        <v>133</v>
      </c>
      <c r="I86" s="16" t="s">
        <v>134</v>
      </c>
      <c r="J86" s="95">
        <v>0.9</v>
      </c>
      <c r="K86" s="16">
        <v>730</v>
      </c>
      <c r="L86" s="91"/>
      <c r="M86" s="93">
        <v>500</v>
      </c>
      <c r="N86" s="86">
        <v>9</v>
      </c>
      <c r="O86" s="86" t="s">
        <v>135</v>
      </c>
      <c r="P86" s="86">
        <v>12</v>
      </c>
      <c r="Q86" s="86">
        <v>650</v>
      </c>
    </row>
    <row r="87" spans="1:17" ht="45" thickBot="1">
      <c r="A87" s="93">
        <v>650</v>
      </c>
      <c r="B87" s="101" t="s">
        <v>132</v>
      </c>
      <c r="C87" s="101" t="s">
        <v>132</v>
      </c>
      <c r="D87" s="101" t="s">
        <v>132</v>
      </c>
      <c r="E87" s="86">
        <v>800</v>
      </c>
      <c r="F87" s="91"/>
      <c r="G87" s="15">
        <v>650</v>
      </c>
      <c r="H87" s="16" t="s">
        <v>136</v>
      </c>
      <c r="I87" s="16" t="s">
        <v>137</v>
      </c>
      <c r="J87" s="95">
        <v>0.97</v>
      </c>
      <c r="K87" s="16">
        <v>800</v>
      </c>
      <c r="L87" s="91"/>
      <c r="M87" s="93">
        <v>550</v>
      </c>
      <c r="N87" s="86">
        <v>10</v>
      </c>
      <c r="O87" s="86" t="s">
        <v>138</v>
      </c>
      <c r="P87" s="86">
        <v>13</v>
      </c>
      <c r="Q87" s="86">
        <v>700</v>
      </c>
    </row>
    <row r="88" spans="1:17" ht="34" thickBot="1">
      <c r="F88" s="91"/>
      <c r="G88" s="91"/>
      <c r="H88" s="91"/>
      <c r="I88" s="91"/>
      <c r="J88" s="91"/>
      <c r="K88" s="91"/>
      <c r="L88" s="91"/>
      <c r="M88" s="93">
        <v>600</v>
      </c>
      <c r="N88" s="101" t="s">
        <v>139</v>
      </c>
      <c r="O88" s="101" t="s">
        <v>139</v>
      </c>
      <c r="P88" s="101" t="s">
        <v>139</v>
      </c>
      <c r="Q88" s="86">
        <v>730</v>
      </c>
    </row>
    <row r="89" spans="1:17" ht="45" thickBot="1">
      <c r="F89" s="91"/>
      <c r="G89" s="91"/>
      <c r="H89" s="91"/>
      <c r="I89" s="91"/>
      <c r="J89" s="91"/>
      <c r="K89" s="91"/>
      <c r="L89" s="91"/>
      <c r="M89" s="93">
        <v>650</v>
      </c>
      <c r="N89" s="101" t="s">
        <v>132</v>
      </c>
      <c r="O89" s="101" t="s">
        <v>132</v>
      </c>
      <c r="P89" s="101" t="s">
        <v>132</v>
      </c>
      <c r="Q89" s="86">
        <v>800</v>
      </c>
    </row>
    <row r="90" spans="1:17">
      <c r="F90" s="91"/>
      <c r="G90" s="91"/>
      <c r="H90" s="91"/>
      <c r="I90" s="91"/>
      <c r="J90" s="91"/>
      <c r="K90" s="91"/>
      <c r="L90" s="91"/>
      <c r="M90" s="91"/>
    </row>
    <row r="91" spans="1:17">
      <c r="F91" s="91"/>
      <c r="G91" s="91"/>
      <c r="H91" s="91"/>
      <c r="I91" s="91"/>
      <c r="J91" s="91"/>
      <c r="K91" s="91"/>
      <c r="L91" s="91"/>
      <c r="M91" s="91"/>
    </row>
    <row r="92" spans="1:17">
      <c r="F92" s="91"/>
      <c r="G92" s="91"/>
      <c r="H92" s="91"/>
      <c r="I92" s="91"/>
      <c r="J92" s="91"/>
      <c r="K92" s="91"/>
      <c r="L92" s="91"/>
      <c r="M92" s="91"/>
    </row>
    <row r="93" spans="1:17">
      <c r="F93" s="91"/>
      <c r="G93" s="91"/>
      <c r="H93" s="91"/>
      <c r="I93" s="91"/>
      <c r="J93" s="91"/>
      <c r="K93" s="91"/>
      <c r="L93" s="91"/>
      <c r="M93" s="91"/>
    </row>
    <row r="94" spans="1:17">
      <c r="F94" s="91"/>
      <c r="G94" s="91"/>
      <c r="H94" s="91"/>
      <c r="I94" s="91"/>
      <c r="J94" s="91"/>
      <c r="K94" s="91"/>
      <c r="L94" s="91"/>
      <c r="M94" s="91"/>
    </row>
    <row r="95" spans="1:17">
      <c r="F95" s="91"/>
      <c r="G95" s="91"/>
      <c r="H95" s="91"/>
      <c r="I95" s="91"/>
      <c r="J95" s="91"/>
      <c r="K95" s="91"/>
      <c r="L95" s="91"/>
      <c r="M95" s="91"/>
    </row>
    <row r="96" spans="1:17">
      <c r="F96" s="91"/>
      <c r="G96" s="91"/>
      <c r="H96" s="91"/>
      <c r="I96" s="91"/>
      <c r="J96" s="91"/>
      <c r="K96" s="91"/>
      <c r="L96" s="91"/>
      <c r="M96" s="91"/>
    </row>
    <row r="97" spans="1:13">
      <c r="F97" s="91"/>
      <c r="G97" s="91"/>
      <c r="H97" s="91"/>
      <c r="I97" s="91"/>
      <c r="J97" s="91"/>
      <c r="K97" s="91"/>
      <c r="L97" s="91"/>
      <c r="M97" s="91"/>
    </row>
    <row r="98" spans="1:13">
      <c r="F98" s="91"/>
      <c r="G98" s="91"/>
      <c r="H98" s="91"/>
      <c r="I98" s="91"/>
      <c r="J98" s="91"/>
      <c r="K98" s="91"/>
      <c r="L98" s="91"/>
      <c r="M98" s="91"/>
    </row>
    <row r="99" spans="1:13">
      <c r="F99" s="91"/>
      <c r="G99" s="91"/>
      <c r="H99" s="91"/>
      <c r="I99" s="91"/>
      <c r="J99" s="91"/>
      <c r="K99" s="91"/>
      <c r="L99" s="91"/>
      <c r="M99" s="91"/>
    </row>
    <row r="100" spans="1:13">
      <c r="A100" s="91"/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</row>
    <row r="101" spans="1:13">
      <c r="A101" s="91"/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/>
    </row>
    <row r="102" spans="1:13">
      <c r="A102" s="91"/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/>
    </row>
    <row r="103" spans="1:13">
      <c r="A103" s="91"/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</row>
    <row r="104" spans="1:13">
      <c r="A104" s="91"/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/>
    </row>
    <row r="105" spans="1:13">
      <c r="A105" s="91"/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</row>
    <row r="106" spans="1:13">
      <c r="A106" s="91"/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</row>
    <row r="107" spans="1:13">
      <c r="A107" s="91"/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</row>
    <row r="108" spans="1:13">
      <c r="A108" s="91"/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</row>
    <row r="109" spans="1:13">
      <c r="A109" s="91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</row>
  </sheetData>
  <mergeCells count="8">
    <mergeCell ref="A1:D1"/>
    <mergeCell ref="A78:E78"/>
    <mergeCell ref="G78:K78"/>
    <mergeCell ref="M78:Q78"/>
    <mergeCell ref="I79:J79"/>
    <mergeCell ref="M79:M81"/>
    <mergeCell ref="Q79:Q81"/>
    <mergeCell ref="G11:R1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Student 1</vt:lpstr>
      <vt:lpstr>Student (2)</vt:lpstr>
      <vt:lpstr>Student  (3)</vt:lpstr>
      <vt:lpstr>Student  (4)</vt:lpstr>
      <vt:lpstr>Ronald Thomas</vt:lpstr>
      <vt:lpstr>Tables</vt:lpstr>
    </vt:vector>
  </TitlesOfParts>
  <Company>Boston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Falkson</dc:creator>
  <cp:lastModifiedBy>Joe Falkson</cp:lastModifiedBy>
  <cp:lastPrinted>2012-07-26T20:05:59Z</cp:lastPrinted>
  <dcterms:created xsi:type="dcterms:W3CDTF">2011-10-01T03:03:39Z</dcterms:created>
  <dcterms:modified xsi:type="dcterms:W3CDTF">2014-03-23T04:30:26Z</dcterms:modified>
</cp:coreProperties>
</file>